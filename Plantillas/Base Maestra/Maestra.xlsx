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47722A65-63B4-4E6A-8CF9-013C07D3687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<sst xmlns="http://schemas.openxmlformats.org/spreadsheetml/2006/main" count="475" uniqueCount="146">
  <si>
    <t>KeyPLU</t>
  </si>
  <si>
    <t>CLIENTE</t>
  </si>
  <si>
    <t>SoldTO</t>
  </si>
  <si>
    <t>Canal</t>
  </si>
  <si>
    <t>EAN</t>
  </si>
  <si>
    <t>GMID</t>
  </si>
  <si>
    <t>PLU</t>
  </si>
  <si>
    <t>PRODUCTO</t>
  </si>
  <si>
    <t>FARMATODO</t>
  </si>
  <si>
    <t>Retail</t>
  </si>
  <si>
    <t>BUSCAPINA 10MG GRAGEAS CAJA X20GRG. BOEHRINGER HIOSCINA N-BUTILBROMU</t>
  </si>
  <si>
    <t>Bisolvon Niños Jbe Fco. x120Ml. Boehringer Bromhexina Clorhidrato</t>
  </si>
  <si>
    <t>Buscapina 20Mg Amp. Fco. x3Amp. Boehringer N-Butil Bromuro de Hioscina</t>
  </si>
  <si>
    <t>Buscapina Compositum Nf Niños Fco x30 ml N-Butil Bromuro de Hioscina</t>
  </si>
  <si>
    <t>Gelicart Colágeno Hidrolizado Caja X30Sob.X300G.</t>
  </si>
  <si>
    <t>DULCOLAX 5MG CAJA X20 GRAGEAS BOEHRINGER BISACODILO</t>
  </si>
  <si>
    <t>Allegra 180Mg Tabletas Caja X10Tab. Sanofi Fexofenadina Clorhidrato</t>
  </si>
  <si>
    <t>Enterogermina Plus Sus Oral Caja X5Via Sanofi Esporas Bacillus Clausii</t>
  </si>
  <si>
    <t>NOVALGINA 500MG TABLETAS CAJA X50TAB. SANOFI DIPIRONA SÓDICA</t>
  </si>
  <si>
    <t>BUSCAPINA FEM COM. CAJA X6COM. BOEHRINGER HIOSCINA N-BUTILBROMURO</t>
  </si>
  <si>
    <t>BUSCAPINA COMPOSITUM NF CAJA X10 COMP</t>
  </si>
  <si>
    <t>Enterogermina Sus. Oral Caja X10Amp Sanofi Esporas De Bacillus Clausii</t>
  </si>
  <si>
    <t>Allegra D 60/25Mg Tabletas Caja X10Tab Sanofi Fexofenadina Fenilefrina</t>
  </si>
  <si>
    <t>Allegra Pediátrico 30Mg Suspensión Frasco X150Ml Sanofi Fexofenadina</t>
  </si>
  <si>
    <t>DULCOLAX 5MG GRAGEAS CAJA X10GRG. BOEHRINGER BISACODILO</t>
  </si>
  <si>
    <t>Dulcolax Gotas Frasco x15Ml. Boehringer Picosulfato Sódico</t>
  </si>
  <si>
    <t>Migrinon 300/30/30 mg Caja x 100 Tab Dipirona Isometepteno Cafeína</t>
  </si>
  <si>
    <t>Bisolvon Max Jarabe Frasco X120Ml. Boehringer Ambroxol</t>
  </si>
  <si>
    <t>Nasacort Aq 55Mcg Suspensión Nasal Frasco X120Dos Sanofi Triamcinolona</t>
  </si>
  <si>
    <t>Buscapina Compositum NF Caja X20 Comp</t>
  </si>
  <si>
    <t>Gelicart Advance Polvo X 30 sobres</t>
  </si>
  <si>
    <t>Bisolvon Tos Seca Jarabe Frasco X120Ml. Boehringer Dextrometorfano</t>
  </si>
  <si>
    <t>Allegra 120Mg Tabletas Caja X10Tab. Sanofi Fexofenadina Clorhidrato</t>
  </si>
  <si>
    <t>BUSCAMINT 181.6MG CAPSG BL12 M36</t>
  </si>
  <si>
    <t>ENTEROGERMINA 2BCFU/5ML SUSP 2BT10 CO</t>
  </si>
  <si>
    <t>COPSERVIR</t>
  </si>
  <si>
    <t>BUSCAPINA</t>
  </si>
  <si>
    <t>BUSCAPINA COMPOSITUM N F</t>
  </si>
  <si>
    <t>DULCOLAX</t>
  </si>
  <si>
    <t>NOVALGINA 5 ML</t>
  </si>
  <si>
    <t>NOVALGINA 2 ML</t>
  </si>
  <si>
    <t>BUSCAPINA X 1 ML</t>
  </si>
  <si>
    <t>ALLEGRA 120 MG</t>
  </si>
  <si>
    <t>GELICART</t>
  </si>
  <si>
    <t>NASACORT AQ</t>
  </si>
  <si>
    <t>ALLEGRA 180 MG</t>
  </si>
  <si>
    <t>ALLEGRA D 60 MG / 25 MG</t>
  </si>
  <si>
    <t>BISOLVON LINCTUS NINOS</t>
  </si>
  <si>
    <t>BUSCAPINA COMPOSITUM NF</t>
  </si>
  <si>
    <t>ENTEROGERMINA</t>
  </si>
  <si>
    <t>BUSCAPINA FEM</t>
  </si>
  <si>
    <t>DULCOLAX P 7.50 MG</t>
  </si>
  <si>
    <t>ALLEGRA PEDIATRICO</t>
  </si>
  <si>
    <t>MIGRINON</t>
  </si>
  <si>
    <t>BISOLVON TOS SECA</t>
  </si>
  <si>
    <t>BISOLVON MAX</t>
  </si>
  <si>
    <t>ENTEROGERMINA PLUS</t>
  </si>
  <si>
    <t>NOVALGINA 500 MG</t>
  </si>
  <si>
    <t>BUSCAPINA FEM DOBLE ACCION</t>
  </si>
  <si>
    <t>GELICART ADVANCE</t>
  </si>
  <si>
    <t>CAFAM</t>
  </si>
  <si>
    <t>DULCOLAX x10</t>
  </si>
  <si>
    <t>GELICART ACTION</t>
  </si>
  <si>
    <t>DULCOLAX x20</t>
  </si>
  <si>
    <t>Institucional</t>
  </si>
  <si>
    <t>BUSCAPINA COMPOSITUM NF GOTAS FRA 30ML</t>
  </si>
  <si>
    <t>BUSCAPINA COMPOSITUM CAJA X100</t>
  </si>
  <si>
    <t>Code</t>
  </si>
  <si>
    <t>Reason (shift)</t>
  </si>
  <si>
    <t>Definition</t>
  </si>
  <si>
    <t>Abnormal Orders</t>
  </si>
  <si>
    <t>Demanda anormal</t>
  </si>
  <si>
    <t>C1</t>
  </si>
  <si>
    <t>Discontinued product</t>
  </si>
  <si>
    <t>Descontinuado</t>
  </si>
  <si>
    <t>CM</t>
  </si>
  <si>
    <t>Credit issues</t>
  </si>
  <si>
    <t>Problema de Cartera</t>
  </si>
  <si>
    <t>D1</t>
  </si>
  <si>
    <t>Missing Customer License</t>
  </si>
  <si>
    <t>Falta licencia de importación Cliente</t>
  </si>
  <si>
    <t>D3</t>
  </si>
  <si>
    <t>Import/export license</t>
  </si>
  <si>
    <t>Falta licencia de exportación Opella</t>
  </si>
  <si>
    <t>M0</t>
  </si>
  <si>
    <t>Customer master data issues</t>
  </si>
  <si>
    <t>Error en el sistema de Opella</t>
  </si>
  <si>
    <t>M1</t>
  </si>
  <si>
    <t>Product master data issues</t>
  </si>
  <si>
    <t>M2</t>
  </si>
  <si>
    <t>Wrong/None price in SAP</t>
  </si>
  <si>
    <t>Diferencia de Precio</t>
  </si>
  <si>
    <t>M3</t>
  </si>
  <si>
    <t>Cancelled by Sales Rep</t>
  </si>
  <si>
    <t>Cancelado por el KAM</t>
  </si>
  <si>
    <t>M4</t>
  </si>
  <si>
    <t>Contract Issues</t>
  </si>
  <si>
    <t>Error en el contrato</t>
  </si>
  <si>
    <t>M6</t>
  </si>
  <si>
    <t>Stock in trade adjustment</t>
  </si>
  <si>
    <t>Backorder</t>
  </si>
  <si>
    <t>M7</t>
  </si>
  <si>
    <t>Vol adjust (Cust. forecast adjustment)</t>
  </si>
  <si>
    <t>Q1</t>
  </si>
  <si>
    <t>Vol adjust(Prod. Alloc -LIM exceeded)</t>
  </si>
  <si>
    <t>Q2</t>
  </si>
  <si>
    <t>Vol adjust(Prod. Alloc - Shortage)</t>
  </si>
  <si>
    <t>#</t>
  </si>
  <si>
    <t>In Full</t>
  </si>
  <si>
    <t>ZA</t>
  </si>
  <si>
    <t>Out of stock (Back Order not allowed)</t>
  </si>
  <si>
    <t>ZB</t>
  </si>
  <si>
    <t>Back order closed (cancelled after a certain period of time)</t>
  </si>
  <si>
    <t>ZC</t>
  </si>
  <si>
    <t>Back order retaken in a new purchase order</t>
  </si>
  <si>
    <t>ZE</t>
  </si>
  <si>
    <t>Price Difference Customer vs SAP</t>
  </si>
  <si>
    <t>ZJ</t>
  </si>
  <si>
    <t>No batch or incorrectly batch determined</t>
  </si>
  <si>
    <t>No cumple FV acordada</t>
  </si>
  <si>
    <t>ZQ</t>
  </si>
  <si>
    <t>Quantity does not fulfill min/max</t>
  </si>
  <si>
    <t>Fuera de Masterpack</t>
  </si>
  <si>
    <t>ZM</t>
  </si>
  <si>
    <t>Multiple rejection reasons</t>
  </si>
  <si>
    <t>*</t>
  </si>
  <si>
    <t>CU</t>
  </si>
  <si>
    <t>Customer reason</t>
  </si>
  <si>
    <t>Cancelado por el Cliente</t>
  </si>
  <si>
    <t>D4</t>
  </si>
  <si>
    <t>Customer in Sanction Party List</t>
  </si>
  <si>
    <t>Ruptura de relación comercial</t>
  </si>
  <si>
    <t>ZD</t>
  </si>
  <si>
    <t>Duplicate order</t>
  </si>
  <si>
    <t>Duplicado</t>
  </si>
  <si>
    <t>ZI</t>
  </si>
  <si>
    <t>Customer Cancellation</t>
  </si>
  <si>
    <t>ZO</t>
  </si>
  <si>
    <t>Credit card missing</t>
  </si>
  <si>
    <t>Ajuste por SITH</t>
  </si>
  <si>
    <t>Ajuste por forecast de cliente</t>
  </si>
  <si>
    <t>Excedido en limite de cuota</t>
  </si>
  <si>
    <t>Allocation por Ruptura</t>
  </si>
  <si>
    <t>Out of stock (Back Order not accept)</t>
  </si>
  <si>
    <t>Ruptura</t>
  </si>
  <si>
    <t>Retoma de producto en nueva 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</si>
</sst>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7">
    <xf numFmtId="0" fontId="0" fillId="0" borderId="0" xfId="0"/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1" fontId="0" fillId="0" borderId="0" xfId="0" applyNumberFormat="1" applyAlignment="1">
      <alignment horizontal="left" vertical="top"/>
    </xf>
    <xf numFmtId="1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estra" displayName="Maestra" ref="A1:H102" totalsRowShown="0" headerRowDxfId="14" dataDxfId="13">
  <autoFilter ref="A1:H102" xr:uid="{00000000-0009-0000-0100-000001000000}"/>
  <tableColumns count="8">
    <tableColumn id="4" xr3:uid="{00000000-0010-0000-0000-000004000000}" name="KeyPLU" dataDxfId="12">
      <calculatedColumnFormula>+Maestra[[#This Row],[SoldTO]]&amp;Maestra[[#This Row],[EAN]]&amp;Maestra[[#This Row],[Canal]]</calculatedColumnFormula>
    </tableColumn>
    <tableColumn id="8" xr3:uid="{00000000-0010-0000-0000-000008000000}" name="CLIENTE" dataDxfId="11"/>
    <tableColumn id="7" xr3:uid="{00000000-0010-0000-0000-000007000000}" name="SoldTO" dataDxfId="10"/>
    <tableColumn id="9" xr3:uid="{00000000-0010-0000-0000-000009000000}" name="Canal" dataDxfId="9"/>
    <tableColumn id="6" xr3:uid="{00000000-0010-0000-0000-000006000000}" name="EAN" dataDxfId="8"/>
    <tableColumn id="3" xr3:uid="{00000000-0010-0000-0000-000003000000}" name="GMID" dataDxfId="7"/>
    <tableColumn id="5" xr3:uid="{00000000-0010-0000-0000-000005000000}" name="PLU" dataDxfId="6"/>
    <tableColumn id="1" xr3:uid="{00000000-0010-0000-0000-000001000000}" name="PRODUCTO" dataDxfId="5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R" displayName="MR" ref="A1:C28" totalsRowShown="0" headerRowDxfId="4" dataDxfId="3">
  <autoFilter ref="A1:C28" xr:uid="{00000000-0009-0000-0100-000002000000}"/>
  <sortState xmlns:xlrd2="http://schemas.microsoft.com/office/spreadsheetml/2017/richdata2" ref="A2:C47">
    <sortCondition ref="B2:B47"/>
  </sortState>
  <tableColumns count="3">
    <tableColumn id="1" xr3:uid="{00000000-0010-0000-0100-000001000000}" name="Code" dataDxfId="2"/>
    <tableColumn id="2" xr3:uid="{00000000-0010-0000-0100-000002000000}" name="Reason (shift)" dataDxfId="1"/>
    <tableColumn id="3" xr3:uid="{00000000-0010-0000-0100-000003000000}" name="Definition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R_4" displayName="MR_4" ref="A1:C28" totalsRowShown="0" headerRowDxfId="18">
  <tableColumns count="3">
    <tableColumn id="1" xr3:uid="{00000000-0010-0000-0200-000001000000}" name="Code" dataDxfId="17"/>
    <tableColumn id="2" xr3:uid="{00000000-0010-0000-0200-000002000000}" name="Reason (shift)" dataDxfId="16"/>
    <tableColumn id="3" xr3:uid="{00000000-0010-0000-0200-000003000000}" name="Definition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2"/>
  <sheetViews>
    <sheetView topLeftCell="A73" workbookViewId="0">
      <selection activeCell="H10" sqref="H10"/>
    </sheetView>
  </sheetViews>
  <sheetFormatPr baseColWidth="10" defaultColWidth="9.140625" defaultRowHeight="15" x14ac:dyDescent="0.25"/>
  <cols>
    <col min="1" max="1" width="34.5703125" bestFit="1" customWidth="1"/>
    <col min="2" max="2" width="12.5703125" bestFit="1" customWidth="1"/>
    <col min="3" max="3" width="10" bestFit="1" customWidth="1"/>
    <col min="4" max="4" width="12" bestFit="1" customWidth="1"/>
    <col min="5" max="5" width="14" bestFit="1" customWidth="1"/>
    <col min="6" max="6" width="8.42578125" bestFit="1" customWidth="1"/>
    <col min="7" max="7" width="10" bestFit="1" customWidth="1"/>
    <col min="8" max="8" width="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s="3" t="str">
        <f>+Maestra[[#This Row],[SoldTO]]&amp;Maestra[[#This Row],[EAN]]&amp;Maestra[[#This Row],[Canal]]</f>
        <v>1001786637703202221244Retail</v>
      </c>
      <c r="B2" s="3" t="s">
        <v>8</v>
      </c>
      <c r="C2" s="4">
        <v>100178663</v>
      </c>
      <c r="D2" s="4" t="s">
        <v>9</v>
      </c>
      <c r="E2" s="3">
        <v>7703202221244</v>
      </c>
      <c r="F2" s="5">
        <v>782065</v>
      </c>
      <c r="G2" s="5">
        <v>101001237</v>
      </c>
      <c r="H2" s="5" t="s">
        <v>10</v>
      </c>
    </row>
    <row r="3" spans="1:8" x14ac:dyDescent="0.25">
      <c r="A3" s="3" t="str">
        <f>+Maestra[[#This Row],[SoldTO]]&amp;Maestra[[#This Row],[EAN]]&amp;Maestra[[#This Row],[Canal]]</f>
        <v>1001786637703202221220Retail</v>
      </c>
      <c r="B3" s="3" t="s">
        <v>8</v>
      </c>
      <c r="C3" s="4">
        <v>100178663</v>
      </c>
      <c r="D3" s="4" t="s">
        <v>9</v>
      </c>
      <c r="E3" s="3">
        <v>7703202221220</v>
      </c>
      <c r="F3" s="5">
        <v>781955</v>
      </c>
      <c r="G3" s="5">
        <v>101003692</v>
      </c>
      <c r="H3" s="5" t="s">
        <v>11</v>
      </c>
    </row>
    <row r="4" spans="1:8" x14ac:dyDescent="0.25">
      <c r="A4" s="3" t="str">
        <f>+Maestra[[#This Row],[SoldTO]]&amp;Maestra[[#This Row],[EAN]]&amp;Maestra[[#This Row],[Canal]]</f>
        <v>1001786637703202221091Retail</v>
      </c>
      <c r="B4" s="3" t="s">
        <v>8</v>
      </c>
      <c r="C4" s="4">
        <v>100178663</v>
      </c>
      <c r="D4" s="4" t="s">
        <v>9</v>
      </c>
      <c r="E4" s="3">
        <v>7703202221091</v>
      </c>
      <c r="F4" s="6">
        <v>797130</v>
      </c>
      <c r="G4" s="5">
        <v>101001238</v>
      </c>
      <c r="H4" s="5" t="s">
        <v>12</v>
      </c>
    </row>
    <row r="5" spans="1:8" x14ac:dyDescent="0.25">
      <c r="A5" s="3" t="str">
        <f>+Maestra[[#This Row],[SoldTO]]&amp;Maestra[[#This Row],[EAN]]&amp;Maestra[[#This Row],[Canal]]</f>
        <v>1001786637703202221305Retail</v>
      </c>
      <c r="B5" s="3" t="s">
        <v>8</v>
      </c>
      <c r="C5" s="4">
        <v>100178663</v>
      </c>
      <c r="D5" s="4" t="s">
        <v>9</v>
      </c>
      <c r="E5" s="3">
        <v>7703202221305</v>
      </c>
      <c r="F5" s="5">
        <v>782086</v>
      </c>
      <c r="G5" s="5">
        <v>101000230</v>
      </c>
      <c r="H5" s="5" t="s">
        <v>13</v>
      </c>
    </row>
    <row r="6" spans="1:8" x14ac:dyDescent="0.25">
      <c r="A6" s="3" t="str">
        <f>+Maestra[[#This Row],[SoldTO]]&amp;Maestra[[#This Row],[EAN]]&amp;Maestra[[#This Row],[Canal]]</f>
        <v>1001786637501165007956Retail</v>
      </c>
      <c r="B6" s="3" t="s">
        <v>8</v>
      </c>
      <c r="C6" s="4">
        <v>100178663</v>
      </c>
      <c r="D6" s="4" t="s">
        <v>9</v>
      </c>
      <c r="E6" s="3">
        <v>7501165007956</v>
      </c>
      <c r="F6" s="5">
        <v>655678</v>
      </c>
      <c r="G6" s="5">
        <v>101045579</v>
      </c>
      <c r="H6" s="5" t="s">
        <v>14</v>
      </c>
    </row>
    <row r="7" spans="1:8" x14ac:dyDescent="0.25">
      <c r="A7" s="3" t="str">
        <f>+Maestra[[#This Row],[SoldTO]]&amp;Maestra[[#This Row],[EAN]]&amp;Maestra[[#This Row],[Canal]]</f>
        <v>1001786637703202221152Retail</v>
      </c>
      <c r="B7" s="3" t="s">
        <v>8</v>
      </c>
      <c r="C7" s="4">
        <v>100178663</v>
      </c>
      <c r="D7" s="4" t="s">
        <v>9</v>
      </c>
      <c r="E7" s="3">
        <v>7703202221152</v>
      </c>
      <c r="F7" s="5">
        <v>715506</v>
      </c>
      <c r="G7" s="5">
        <v>101029133</v>
      </c>
      <c r="H7" s="5" t="s">
        <v>15</v>
      </c>
    </row>
    <row r="8" spans="1:8" x14ac:dyDescent="0.25">
      <c r="A8" s="3" t="str">
        <f>+Maestra[[#This Row],[SoldTO]]&amp;Maestra[[#This Row],[EAN]]&amp;Maestra[[#This Row],[Canal]]</f>
        <v>1001786637591044009010Retail</v>
      </c>
      <c r="B8" s="3" t="s">
        <v>8</v>
      </c>
      <c r="C8" s="4">
        <v>100178663</v>
      </c>
      <c r="D8" s="4" t="s">
        <v>9</v>
      </c>
      <c r="E8" s="3">
        <v>7591044009010</v>
      </c>
      <c r="F8" s="5">
        <v>732308</v>
      </c>
      <c r="G8" s="5">
        <v>101002374</v>
      </c>
      <c r="H8" s="5" t="s">
        <v>16</v>
      </c>
    </row>
    <row r="9" spans="1:8" x14ac:dyDescent="0.25">
      <c r="A9" s="3" t="str">
        <f>+Maestra[[#This Row],[SoldTO]]&amp;Maestra[[#This Row],[EAN]]&amp;Maestra[[#This Row],[Canal]]</f>
        <v>1001786637702771001561Retail</v>
      </c>
      <c r="B9" s="3" t="s">
        <v>8</v>
      </c>
      <c r="C9" s="4">
        <v>100178663</v>
      </c>
      <c r="D9" s="4" t="s">
        <v>9</v>
      </c>
      <c r="E9" s="3">
        <v>7702771001561</v>
      </c>
      <c r="F9" s="6">
        <v>873239</v>
      </c>
      <c r="G9" s="5">
        <v>101050624</v>
      </c>
      <c r="H9" s="5" t="s">
        <v>17</v>
      </c>
    </row>
    <row r="10" spans="1:8" x14ac:dyDescent="0.25">
      <c r="A10" s="3" t="str">
        <f>+Maestra[[#This Row],[SoldTO]]&amp;Maestra[[#This Row],[EAN]]&amp;Maestra[[#This Row],[Canal]]</f>
        <v>1001786637501165010444Retail</v>
      </c>
      <c r="B10" s="3" t="s">
        <v>8</v>
      </c>
      <c r="C10" s="4">
        <v>100178663</v>
      </c>
      <c r="D10" s="4" t="s">
        <v>9</v>
      </c>
      <c r="E10" s="3">
        <v>7501165010444</v>
      </c>
      <c r="F10" s="5">
        <v>600723</v>
      </c>
      <c r="G10" s="5">
        <v>101054403</v>
      </c>
      <c r="H10" s="5" t="s">
        <v>18</v>
      </c>
    </row>
    <row r="11" spans="1:8" x14ac:dyDescent="0.25">
      <c r="A11" s="3" t="str">
        <f>+Maestra[[#This Row],[SoldTO]]&amp;Maestra[[#This Row],[EAN]]&amp;Maestra[[#This Row],[Canal]]</f>
        <v>1001786637703202221275Retail</v>
      </c>
      <c r="B11" s="3" t="s">
        <v>8</v>
      </c>
      <c r="C11" s="4">
        <v>100178663</v>
      </c>
      <c r="D11" s="4" t="s">
        <v>9</v>
      </c>
      <c r="E11" s="3">
        <v>7703202221275</v>
      </c>
      <c r="F11" s="5">
        <v>782074</v>
      </c>
      <c r="G11" s="5">
        <v>101021452</v>
      </c>
      <c r="H11" s="5" t="s">
        <v>19</v>
      </c>
    </row>
    <row r="12" spans="1:8" x14ac:dyDescent="0.25">
      <c r="A12" s="3" t="str">
        <f>+Maestra[[#This Row],[SoldTO]]&amp;Maestra[[#This Row],[EAN]]&amp;Maestra[[#This Row],[Canal]]</f>
        <v>1001786637703202221336Retail</v>
      </c>
      <c r="B12" s="3" t="s">
        <v>8</v>
      </c>
      <c r="C12" s="4">
        <v>100178663</v>
      </c>
      <c r="D12" s="4" t="s">
        <v>9</v>
      </c>
      <c r="E12" s="3">
        <v>7703202221336</v>
      </c>
      <c r="F12" s="5">
        <v>782093</v>
      </c>
      <c r="G12" s="5">
        <v>101060964</v>
      </c>
      <c r="H12" s="5" t="s">
        <v>20</v>
      </c>
    </row>
    <row r="13" spans="1:8" x14ac:dyDescent="0.25">
      <c r="A13" s="3" t="str">
        <f>+Maestra[[#This Row],[SoldTO]]&amp;Maestra[[#This Row],[EAN]]&amp;Maestra[[#This Row],[Canal]]</f>
        <v>1001786633582910009900Retail</v>
      </c>
      <c r="B13" s="3" t="s">
        <v>8</v>
      </c>
      <c r="C13" s="4">
        <v>100178663</v>
      </c>
      <c r="D13" s="4" t="s">
        <v>9</v>
      </c>
      <c r="E13" s="3">
        <v>3582910009900</v>
      </c>
      <c r="F13" s="5">
        <v>873229</v>
      </c>
      <c r="G13" s="5">
        <v>101021284</v>
      </c>
      <c r="H13" s="5" t="s">
        <v>21</v>
      </c>
    </row>
    <row r="14" spans="1:8" x14ac:dyDescent="0.25">
      <c r="A14" s="3" t="str">
        <f>+Maestra[[#This Row],[SoldTO]]&amp;Maestra[[#This Row],[EAN]]&amp;Maestra[[#This Row],[Canal]]</f>
        <v>1001786637703202010329Retail</v>
      </c>
      <c r="B14" s="3" t="s">
        <v>8</v>
      </c>
      <c r="C14" s="4">
        <v>100178663</v>
      </c>
      <c r="D14" s="4" t="s">
        <v>9</v>
      </c>
      <c r="E14" s="3">
        <v>7703202010329</v>
      </c>
      <c r="F14" s="5">
        <v>341667</v>
      </c>
      <c r="G14" s="5">
        <v>101002375</v>
      </c>
      <c r="H14" s="5" t="s">
        <v>22</v>
      </c>
    </row>
    <row r="15" spans="1:8" x14ac:dyDescent="0.25">
      <c r="A15" s="3" t="str">
        <f>+Maestra[[#This Row],[SoldTO]]&amp;Maestra[[#This Row],[EAN]]&amp;Maestra[[#This Row],[Canal]]</f>
        <v>1001786637795312100090Retail</v>
      </c>
      <c r="B15" s="3" t="s">
        <v>8</v>
      </c>
      <c r="C15" s="4">
        <v>100178663</v>
      </c>
      <c r="D15" s="4" t="s">
        <v>9</v>
      </c>
      <c r="E15" s="3">
        <v>7795312100090</v>
      </c>
      <c r="F15" s="5">
        <v>785678</v>
      </c>
      <c r="G15" s="5">
        <v>101032440</v>
      </c>
      <c r="H15" s="5" t="s">
        <v>23</v>
      </c>
    </row>
    <row r="16" spans="1:8" x14ac:dyDescent="0.25">
      <c r="A16" s="3" t="str">
        <f>+Maestra[[#This Row],[SoldTO]]&amp;Maestra[[#This Row],[EAN]]&amp;Maestra[[#This Row],[Canal]]</f>
        <v>1001786637703202221169Retail</v>
      </c>
      <c r="B16" s="3" t="s">
        <v>8</v>
      </c>
      <c r="C16" s="4">
        <v>100178663</v>
      </c>
      <c r="D16" s="4" t="s">
        <v>9</v>
      </c>
      <c r="E16" s="3">
        <v>7703202221169</v>
      </c>
      <c r="F16" s="5">
        <v>715503</v>
      </c>
      <c r="G16" s="5">
        <v>101003509</v>
      </c>
      <c r="H16" s="5" t="s">
        <v>24</v>
      </c>
    </row>
    <row r="17" spans="1:8" x14ac:dyDescent="0.25">
      <c r="A17" s="3" t="str">
        <f>+Maestra[[#This Row],[SoldTO]]&amp;Maestra[[#This Row],[EAN]]&amp;Maestra[[#This Row],[Canal]]</f>
        <v>1001786637703202221176Retail</v>
      </c>
      <c r="B17" s="3" t="s">
        <v>8</v>
      </c>
      <c r="C17" s="4">
        <v>100178663</v>
      </c>
      <c r="D17" s="4" t="s">
        <v>9</v>
      </c>
      <c r="E17" s="3">
        <v>7703202221176</v>
      </c>
      <c r="F17" s="5">
        <v>715717</v>
      </c>
      <c r="G17" s="5">
        <v>101024888</v>
      </c>
      <c r="H17" s="5" t="s">
        <v>25</v>
      </c>
    </row>
    <row r="18" spans="1:8" x14ac:dyDescent="0.25">
      <c r="A18" s="3" t="str">
        <f>+Maestra[[#This Row],[SoldTO]]&amp;Maestra[[#This Row],[EAN]]&amp;Maestra[[#This Row],[Canal]]</f>
        <v>1001786637703381002146Retail</v>
      </c>
      <c r="B18" s="3" t="s">
        <v>8</v>
      </c>
      <c r="C18" s="4">
        <v>100178663</v>
      </c>
      <c r="D18" s="4" t="s">
        <v>9</v>
      </c>
      <c r="E18" s="3">
        <v>7703381002146</v>
      </c>
      <c r="F18" s="5">
        <v>715717</v>
      </c>
      <c r="G18" s="5">
        <v>101024888</v>
      </c>
      <c r="H18" s="5" t="s">
        <v>25</v>
      </c>
    </row>
    <row r="19" spans="1:8" x14ac:dyDescent="0.25">
      <c r="A19" s="3" t="str">
        <f>+Maestra[[#This Row],[SoldTO]]&amp;Maestra[[#This Row],[EAN]]&amp;Maestra[[#This Row],[Canal]]</f>
        <v>1001786637703202221800Retail</v>
      </c>
      <c r="B19" s="3" t="s">
        <v>8</v>
      </c>
      <c r="C19" s="4">
        <v>100178663</v>
      </c>
      <c r="D19" s="4" t="s">
        <v>9</v>
      </c>
      <c r="E19" s="3">
        <v>7703202221800</v>
      </c>
      <c r="F19" s="5">
        <v>893499</v>
      </c>
      <c r="G19" s="5">
        <v>101034420</v>
      </c>
      <c r="H19" s="5" t="s">
        <v>26</v>
      </c>
    </row>
    <row r="20" spans="1:8" x14ac:dyDescent="0.25">
      <c r="A20" s="3" t="str">
        <f>+Maestra[[#This Row],[SoldTO]]&amp;Maestra[[#This Row],[EAN]]&amp;Maestra[[#This Row],[Canal]]</f>
        <v>1001786637703202221428Retail</v>
      </c>
      <c r="B20" s="3" t="s">
        <v>8</v>
      </c>
      <c r="C20" s="4">
        <v>100178663</v>
      </c>
      <c r="D20" s="4" t="s">
        <v>9</v>
      </c>
      <c r="E20" s="3">
        <v>7703202221428</v>
      </c>
      <c r="F20" s="5">
        <v>782090</v>
      </c>
      <c r="G20" s="5">
        <v>101048039</v>
      </c>
      <c r="H20" s="5" t="s">
        <v>27</v>
      </c>
    </row>
    <row r="21" spans="1:8" x14ac:dyDescent="0.25">
      <c r="A21" s="3" t="str">
        <f>+Maestra[[#This Row],[SoldTO]]&amp;Maestra[[#This Row],[EAN]]&amp;Maestra[[#This Row],[Canal]]</f>
        <v>1001786637591044401036Retail</v>
      </c>
      <c r="B21" s="3" t="s">
        <v>8</v>
      </c>
      <c r="C21" s="4">
        <v>100178663</v>
      </c>
      <c r="D21" s="4" t="s">
        <v>9</v>
      </c>
      <c r="E21" s="3">
        <v>7591044401036</v>
      </c>
      <c r="F21" s="5">
        <v>723871</v>
      </c>
      <c r="G21" s="5">
        <v>101000766</v>
      </c>
      <c r="H21" s="5" t="s">
        <v>28</v>
      </c>
    </row>
    <row r="22" spans="1:8" x14ac:dyDescent="0.25">
      <c r="A22" s="3" t="str">
        <f>+Maestra[[#This Row],[SoldTO]]&amp;Maestra[[#This Row],[EAN]]&amp;Maestra[[#This Row],[Canal]]</f>
        <v>1001786637703202221329Retail</v>
      </c>
      <c r="B22" s="3" t="s">
        <v>8</v>
      </c>
      <c r="C22" s="4">
        <v>100178663</v>
      </c>
      <c r="D22" s="4" t="s">
        <v>9</v>
      </c>
      <c r="E22" s="3">
        <v>7703202221329</v>
      </c>
      <c r="F22" s="5">
        <v>782092</v>
      </c>
      <c r="G22" s="5">
        <v>101060965</v>
      </c>
      <c r="H22" s="5" t="s">
        <v>29</v>
      </c>
    </row>
    <row r="23" spans="1:8" x14ac:dyDescent="0.25">
      <c r="A23" s="3" t="str">
        <f>+Maestra[[#This Row],[SoldTO]]&amp;Maestra[[#This Row],[EAN]]&amp;Maestra[[#This Row],[Canal]]</f>
        <v>1001786637703202003475Retail</v>
      </c>
      <c r="B23" s="3" t="s">
        <v>8</v>
      </c>
      <c r="C23" s="4">
        <v>100178663</v>
      </c>
      <c r="D23" s="4" t="s">
        <v>9</v>
      </c>
      <c r="E23" s="3">
        <v>7703202003475</v>
      </c>
      <c r="F23" s="5">
        <v>650554</v>
      </c>
      <c r="G23" s="5">
        <v>101055908</v>
      </c>
      <c r="H23" s="5" t="s">
        <v>30</v>
      </c>
    </row>
    <row r="24" spans="1:8" x14ac:dyDescent="0.25">
      <c r="A24" s="3" t="str">
        <f>+Maestra[[#This Row],[SoldTO]]&amp;Maestra[[#This Row],[EAN]]&amp;Maestra[[#This Row],[Canal]]</f>
        <v>1001786637703202221381Retail</v>
      </c>
      <c r="B24" s="3" t="s">
        <v>8</v>
      </c>
      <c r="C24" s="4">
        <v>100178663</v>
      </c>
      <c r="D24" s="4" t="s">
        <v>9</v>
      </c>
      <c r="E24" s="3">
        <v>7703202221381</v>
      </c>
      <c r="F24" s="5">
        <v>782089</v>
      </c>
      <c r="G24" s="5">
        <v>101048038</v>
      </c>
      <c r="H24" s="5" t="s">
        <v>31</v>
      </c>
    </row>
    <row r="25" spans="1:8" x14ac:dyDescent="0.25">
      <c r="A25" s="3" t="str">
        <f>+Maestra[[#This Row],[SoldTO]]&amp;Maestra[[#This Row],[EAN]]&amp;Maestra[[#This Row],[Canal]]</f>
        <v>1001786637591044008952Retail</v>
      </c>
      <c r="B25" s="3" t="s">
        <v>8</v>
      </c>
      <c r="C25" s="4">
        <v>100178663</v>
      </c>
      <c r="D25" s="4" t="s">
        <v>9</v>
      </c>
      <c r="E25" s="3">
        <v>7591044008952</v>
      </c>
      <c r="F25" s="5">
        <v>666269</v>
      </c>
      <c r="G25" s="5">
        <v>101000079</v>
      </c>
      <c r="H25" s="5" t="s">
        <v>32</v>
      </c>
    </row>
    <row r="26" spans="1:8" x14ac:dyDescent="0.25">
      <c r="A26" s="3" t="str">
        <f>+Maestra[[#This Row],[SoldTO]]&amp;Maestra[[#This Row],[EAN]]&amp;Maestra[[#This Row],[Canal]]</f>
        <v>1001786633664798064728Retail</v>
      </c>
      <c r="B26" s="3" t="s">
        <v>8</v>
      </c>
      <c r="C26" s="4">
        <v>100178663</v>
      </c>
      <c r="D26" s="4" t="s">
        <v>9</v>
      </c>
      <c r="E26" s="7">
        <v>3664798064728</v>
      </c>
      <c r="F26" s="4">
        <v>846778</v>
      </c>
      <c r="G26" s="5">
        <v>295750490</v>
      </c>
      <c r="H26" s="4" t="s">
        <v>33</v>
      </c>
    </row>
    <row r="27" spans="1:8" x14ac:dyDescent="0.25">
      <c r="A27" s="3" t="str">
        <f>+Maestra[[#This Row],[SoldTO]]&amp;Maestra[[#This Row],[EAN]]&amp;Maestra[[#This Row],[Canal]]</f>
        <v>1001786633664798071214Retail</v>
      </c>
      <c r="B27" s="3" t="s">
        <v>8</v>
      </c>
      <c r="C27" s="4">
        <v>100178663</v>
      </c>
      <c r="D27" s="4" t="s">
        <v>9</v>
      </c>
      <c r="E27" s="7">
        <v>3664798071214</v>
      </c>
      <c r="F27" s="3">
        <v>901077</v>
      </c>
      <c r="G27" s="5">
        <v>298200477</v>
      </c>
      <c r="H27" s="4" t="s">
        <v>34</v>
      </c>
    </row>
    <row r="28" spans="1:8" x14ac:dyDescent="0.25">
      <c r="A28" s="3" t="str">
        <f>+Maestra[[#This Row],[SoldTO]]&amp;Maestra[[#This Row],[EAN]]&amp;Maestra[[#This Row],[Canal]]</f>
        <v>1001734997703202221244Retail</v>
      </c>
      <c r="B28" s="3" t="s">
        <v>35</v>
      </c>
      <c r="C28" s="5">
        <v>100173499</v>
      </c>
      <c r="D28" s="4" t="s">
        <v>9</v>
      </c>
      <c r="E28" s="3">
        <v>7703202221244</v>
      </c>
      <c r="F28" s="5">
        <v>782065</v>
      </c>
      <c r="G28" s="5">
        <v>11729</v>
      </c>
      <c r="H28" s="5" t="s">
        <v>36</v>
      </c>
    </row>
    <row r="29" spans="1:8" x14ac:dyDescent="0.25">
      <c r="A29" s="3" t="str">
        <f>+Maestra[[#This Row],[SoldTO]]&amp;Maestra[[#This Row],[EAN]]&amp;Maestra[[#This Row],[Canal]]</f>
        <v>1001734997703202221329Retail</v>
      </c>
      <c r="B29" s="3" t="s">
        <v>35</v>
      </c>
      <c r="C29" s="5">
        <v>100173499</v>
      </c>
      <c r="D29" s="4" t="s">
        <v>9</v>
      </c>
      <c r="E29" s="3">
        <v>7703202221329</v>
      </c>
      <c r="F29" s="5">
        <v>782092</v>
      </c>
      <c r="G29" s="5">
        <v>11731</v>
      </c>
      <c r="H29" s="5" t="s">
        <v>37</v>
      </c>
    </row>
    <row r="30" spans="1:8" x14ac:dyDescent="0.25">
      <c r="A30" s="3" t="str">
        <f>+Maestra[[#This Row],[SoldTO]]&amp;Maestra[[#This Row],[EAN]]&amp;Maestra[[#This Row],[Canal]]</f>
        <v>1001734997703202221305Retail</v>
      </c>
      <c r="B30" s="3" t="s">
        <v>35</v>
      </c>
      <c r="C30" s="5">
        <v>100173499</v>
      </c>
      <c r="D30" s="4" t="s">
        <v>9</v>
      </c>
      <c r="E30" s="3">
        <v>7703202221305</v>
      </c>
      <c r="F30" s="5">
        <v>782086</v>
      </c>
      <c r="G30" s="5">
        <v>11732</v>
      </c>
      <c r="H30" s="5" t="s">
        <v>37</v>
      </c>
    </row>
    <row r="31" spans="1:8" x14ac:dyDescent="0.25">
      <c r="A31" s="3" t="str">
        <f>+Maestra[[#This Row],[SoldTO]]&amp;Maestra[[#This Row],[EAN]]&amp;Maestra[[#This Row],[Canal]]</f>
        <v>1001734997703202221312Retail</v>
      </c>
      <c r="B31" s="3" t="s">
        <v>35</v>
      </c>
      <c r="C31" s="5">
        <v>100173499</v>
      </c>
      <c r="D31" s="4" t="s">
        <v>9</v>
      </c>
      <c r="E31" s="3">
        <v>7703202221312</v>
      </c>
      <c r="F31" s="5">
        <v>782091</v>
      </c>
      <c r="G31" s="5">
        <v>11733</v>
      </c>
      <c r="H31" s="5" t="s">
        <v>37</v>
      </c>
    </row>
    <row r="32" spans="1:8" x14ac:dyDescent="0.25">
      <c r="A32" s="3" t="str">
        <f>+Maestra[[#This Row],[SoldTO]]&amp;Maestra[[#This Row],[EAN]]&amp;Maestra[[#This Row],[Canal]]</f>
        <v>1001734997703202221169Retail</v>
      </c>
      <c r="B32" s="3" t="s">
        <v>35</v>
      </c>
      <c r="C32" s="5">
        <v>100173499</v>
      </c>
      <c r="D32" s="4" t="s">
        <v>9</v>
      </c>
      <c r="E32" s="3">
        <v>7703202221169</v>
      </c>
      <c r="F32" s="5">
        <v>715503</v>
      </c>
      <c r="G32" s="5">
        <v>13221</v>
      </c>
      <c r="H32" s="5" t="s">
        <v>38</v>
      </c>
    </row>
    <row r="33" spans="1:8" x14ac:dyDescent="0.25">
      <c r="A33" s="3" t="str">
        <f>+Maestra[[#This Row],[SoldTO]]&amp;Maestra[[#This Row],[EAN]]&amp;Maestra[[#This Row],[Canal]]</f>
        <v>1001734997591044007191Retail</v>
      </c>
      <c r="B33" s="3" t="s">
        <v>35</v>
      </c>
      <c r="C33" s="5">
        <v>100173499</v>
      </c>
      <c r="D33" s="4" t="s">
        <v>9</v>
      </c>
      <c r="E33" s="3">
        <v>7591044007191</v>
      </c>
      <c r="F33" s="5">
        <v>120786</v>
      </c>
      <c r="G33" s="5">
        <v>15124</v>
      </c>
      <c r="H33" s="5" t="s">
        <v>39</v>
      </c>
    </row>
    <row r="34" spans="1:8" x14ac:dyDescent="0.25">
      <c r="A34" s="3" t="str">
        <f>+Maestra[[#This Row],[SoldTO]]&amp;Maestra[[#This Row],[EAN]]&amp;Maestra[[#This Row],[Canal]]</f>
        <v>1001734997591044009447Retail</v>
      </c>
      <c r="B34" s="3" t="s">
        <v>35</v>
      </c>
      <c r="C34" s="5">
        <v>100173499</v>
      </c>
      <c r="D34" s="4" t="s">
        <v>9</v>
      </c>
      <c r="E34" s="3">
        <v>7591044009447</v>
      </c>
      <c r="F34" s="5">
        <v>120777</v>
      </c>
      <c r="G34" s="5">
        <v>15129</v>
      </c>
      <c r="H34" s="5" t="s">
        <v>40</v>
      </c>
    </row>
    <row r="35" spans="1:8" x14ac:dyDescent="0.25">
      <c r="A35" s="3" t="str">
        <f>+Maestra[[#This Row],[SoldTO]]&amp;Maestra[[#This Row],[EAN]]&amp;Maestra[[#This Row],[Canal]]</f>
        <v>1001734997703202221091Retail</v>
      </c>
      <c r="B35" s="3" t="s">
        <v>35</v>
      </c>
      <c r="C35" s="5">
        <v>100173499</v>
      </c>
      <c r="D35" s="4" t="s">
        <v>9</v>
      </c>
      <c r="E35" s="3">
        <v>7703202221091</v>
      </c>
      <c r="F35" s="5">
        <v>797130</v>
      </c>
      <c r="G35" s="5">
        <v>21977</v>
      </c>
      <c r="H35" s="5" t="s">
        <v>41</v>
      </c>
    </row>
    <row r="36" spans="1:8" x14ac:dyDescent="0.25">
      <c r="A36" s="3" t="str">
        <f>+Maestra[[#This Row],[SoldTO]]&amp;Maestra[[#This Row],[EAN]]&amp;Maestra[[#This Row],[Canal]]</f>
        <v>1001734997591044008952Retail</v>
      </c>
      <c r="B36" s="3" t="s">
        <v>35</v>
      </c>
      <c r="C36" s="5">
        <v>100173499</v>
      </c>
      <c r="D36" s="4" t="s">
        <v>9</v>
      </c>
      <c r="E36" s="3">
        <v>7591044008952</v>
      </c>
      <c r="F36" s="5">
        <v>666269</v>
      </c>
      <c r="G36" s="5">
        <v>22878</v>
      </c>
      <c r="H36" s="5" t="s">
        <v>42</v>
      </c>
    </row>
    <row r="37" spans="1:8" x14ac:dyDescent="0.25">
      <c r="A37" s="3" t="str">
        <f>+Maestra[[#This Row],[SoldTO]]&amp;Maestra[[#This Row],[EAN]]&amp;Maestra[[#This Row],[Canal]]</f>
        <v>1001734997501165007956Retail</v>
      </c>
      <c r="B37" s="3" t="s">
        <v>35</v>
      </c>
      <c r="C37" s="5">
        <v>100173499</v>
      </c>
      <c r="D37" s="4" t="s">
        <v>9</v>
      </c>
      <c r="E37" s="3">
        <v>7501165007956</v>
      </c>
      <c r="F37" s="5">
        <v>655678</v>
      </c>
      <c r="G37" s="5">
        <v>23893</v>
      </c>
      <c r="H37" s="5" t="s">
        <v>43</v>
      </c>
    </row>
    <row r="38" spans="1:8" x14ac:dyDescent="0.25">
      <c r="A38" s="3" t="str">
        <f>+Maestra[[#This Row],[SoldTO]]&amp;Maestra[[#This Row],[EAN]]&amp;Maestra[[#This Row],[Canal]]</f>
        <v>1001734997591044401036Retail</v>
      </c>
      <c r="B38" s="3" t="s">
        <v>35</v>
      </c>
      <c r="C38" s="5">
        <v>100173499</v>
      </c>
      <c r="D38" s="4" t="s">
        <v>9</v>
      </c>
      <c r="E38" s="3">
        <v>7591044401036</v>
      </c>
      <c r="F38" s="5">
        <v>723871</v>
      </c>
      <c r="G38" s="5">
        <v>25528</v>
      </c>
      <c r="H38" s="5" t="s">
        <v>44</v>
      </c>
    </row>
    <row r="39" spans="1:8" x14ac:dyDescent="0.25">
      <c r="A39" s="3" t="str">
        <f>+Maestra[[#This Row],[SoldTO]]&amp;Maestra[[#This Row],[EAN]]&amp;Maestra[[#This Row],[Canal]]</f>
        <v>1001734997591044009010Retail</v>
      </c>
      <c r="B39" s="3" t="s">
        <v>35</v>
      </c>
      <c r="C39" s="5">
        <v>100173499</v>
      </c>
      <c r="D39" s="4" t="s">
        <v>9</v>
      </c>
      <c r="E39" s="3">
        <v>7591044009010</v>
      </c>
      <c r="F39" s="5">
        <v>732308</v>
      </c>
      <c r="G39" s="5">
        <v>25854</v>
      </c>
      <c r="H39" s="5" t="s">
        <v>45</v>
      </c>
    </row>
    <row r="40" spans="1:8" x14ac:dyDescent="0.25">
      <c r="A40" s="3" t="str">
        <f>+Maestra[[#This Row],[SoldTO]]&amp;Maestra[[#This Row],[EAN]]&amp;Maestra[[#This Row],[Canal]]</f>
        <v>1001734997703202010329Retail</v>
      </c>
      <c r="B40" s="3" t="s">
        <v>35</v>
      </c>
      <c r="C40" s="5">
        <v>100173499</v>
      </c>
      <c r="D40" s="4" t="s">
        <v>9</v>
      </c>
      <c r="E40" s="3">
        <v>7703202010329</v>
      </c>
      <c r="F40" s="5">
        <v>341667</v>
      </c>
      <c r="G40" s="5">
        <v>25860</v>
      </c>
      <c r="H40" s="5" t="s">
        <v>46</v>
      </c>
    </row>
    <row r="41" spans="1:8" x14ac:dyDescent="0.25">
      <c r="A41" s="3" t="str">
        <f>+Maestra[[#This Row],[SoldTO]]&amp;Maestra[[#This Row],[EAN]]&amp;Maestra[[#This Row],[Canal]]</f>
        <v>1001734997703202221220Retail</v>
      </c>
      <c r="B41" s="3" t="s">
        <v>35</v>
      </c>
      <c r="C41" s="5">
        <v>100173499</v>
      </c>
      <c r="D41" s="4" t="s">
        <v>9</v>
      </c>
      <c r="E41" s="3">
        <v>7703202221220</v>
      </c>
      <c r="F41" s="5">
        <v>781955</v>
      </c>
      <c r="G41" s="5">
        <v>26120</v>
      </c>
      <c r="H41" s="5" t="s">
        <v>47</v>
      </c>
    </row>
    <row r="42" spans="1:8" x14ac:dyDescent="0.25">
      <c r="A42" s="3" t="str">
        <f>+Maestra[[#This Row],[SoldTO]]&amp;Maestra[[#This Row],[EAN]]&amp;Maestra[[#This Row],[Canal]]</f>
        <v>1001734997703202221336Retail</v>
      </c>
      <c r="B42" s="3" t="s">
        <v>35</v>
      </c>
      <c r="C42" s="5">
        <v>100173499</v>
      </c>
      <c r="D42" s="4" t="s">
        <v>9</v>
      </c>
      <c r="E42" s="3">
        <v>7703202221336</v>
      </c>
      <c r="F42" s="5">
        <v>782093</v>
      </c>
      <c r="G42" s="5">
        <v>46950</v>
      </c>
      <c r="H42" s="5" t="s">
        <v>48</v>
      </c>
    </row>
    <row r="43" spans="1:8" x14ac:dyDescent="0.25">
      <c r="A43" s="3" t="str">
        <f>+Maestra[[#This Row],[SoldTO]]&amp;Maestra[[#This Row],[EAN]]&amp;Maestra[[#This Row],[Canal]]</f>
        <v>1001734993582910009900Retail</v>
      </c>
      <c r="B43" s="3" t="s">
        <v>35</v>
      </c>
      <c r="C43" s="5">
        <v>100173499</v>
      </c>
      <c r="D43" s="4" t="s">
        <v>9</v>
      </c>
      <c r="E43" s="3">
        <v>3582910009900</v>
      </c>
      <c r="F43" s="5">
        <v>873229</v>
      </c>
      <c r="G43" s="5">
        <v>47409</v>
      </c>
      <c r="H43" s="5" t="s">
        <v>49</v>
      </c>
    </row>
    <row r="44" spans="1:8" x14ac:dyDescent="0.25">
      <c r="A44" s="3" t="str">
        <f>+Maestra[[#This Row],[SoldTO]]&amp;Maestra[[#This Row],[EAN]]&amp;Maestra[[#This Row],[Canal]]</f>
        <v>1001734997703202221275Retail</v>
      </c>
      <c r="B44" s="3" t="s">
        <v>35</v>
      </c>
      <c r="C44" s="5">
        <v>100173499</v>
      </c>
      <c r="D44" s="4" t="s">
        <v>9</v>
      </c>
      <c r="E44" s="3">
        <v>7703202221275</v>
      </c>
      <c r="F44" s="5">
        <v>782074</v>
      </c>
      <c r="G44" s="5">
        <v>47598</v>
      </c>
      <c r="H44" s="5" t="s">
        <v>50</v>
      </c>
    </row>
    <row r="45" spans="1:8" x14ac:dyDescent="0.25">
      <c r="A45" s="3" t="str">
        <f>+Maestra[[#This Row],[SoldTO]]&amp;Maestra[[#This Row],[EAN]]&amp;Maestra[[#This Row],[Canal]]</f>
        <v>1001734997703202221176Retail</v>
      </c>
      <c r="B45" s="3" t="s">
        <v>35</v>
      </c>
      <c r="C45" s="5">
        <v>100173499</v>
      </c>
      <c r="D45" s="4" t="s">
        <v>9</v>
      </c>
      <c r="E45" s="3">
        <v>7703202221176</v>
      </c>
      <c r="F45" s="5">
        <v>715717</v>
      </c>
      <c r="G45" s="5">
        <v>50348</v>
      </c>
      <c r="H45" s="5" t="s">
        <v>51</v>
      </c>
    </row>
    <row r="46" spans="1:8" x14ac:dyDescent="0.25">
      <c r="A46" s="3" t="str">
        <f>+Maestra[[#This Row],[SoldTO]]&amp;Maestra[[#This Row],[EAN]]&amp;Maestra[[#This Row],[Canal]]</f>
        <v>1001734997703381002146Retail</v>
      </c>
      <c r="B46" s="3" t="s">
        <v>35</v>
      </c>
      <c r="C46" s="5">
        <v>100173499</v>
      </c>
      <c r="D46" s="4" t="s">
        <v>9</v>
      </c>
      <c r="E46" s="3">
        <v>7703381002146</v>
      </c>
      <c r="F46" s="5">
        <v>715717</v>
      </c>
      <c r="G46" s="5">
        <v>50348</v>
      </c>
      <c r="H46" s="5" t="s">
        <v>51</v>
      </c>
    </row>
    <row r="47" spans="1:8" x14ac:dyDescent="0.25">
      <c r="A47" s="3" t="str">
        <f>+Maestra[[#This Row],[SoldTO]]&amp;Maestra[[#This Row],[EAN]]&amp;Maestra[[#This Row],[Canal]]</f>
        <v>1001734997703202221152Retail</v>
      </c>
      <c r="B47" s="3" t="s">
        <v>35</v>
      </c>
      <c r="C47" s="5">
        <v>100173499</v>
      </c>
      <c r="D47" s="4" t="s">
        <v>9</v>
      </c>
      <c r="E47" s="3">
        <v>7703202221152</v>
      </c>
      <c r="F47" s="5">
        <v>715506</v>
      </c>
      <c r="G47" s="5">
        <v>58826</v>
      </c>
      <c r="H47" s="5" t="s">
        <v>38</v>
      </c>
    </row>
    <row r="48" spans="1:8" x14ac:dyDescent="0.25">
      <c r="A48" s="3" t="str">
        <f>+Maestra[[#This Row],[SoldTO]]&amp;Maestra[[#This Row],[EAN]]&amp;Maestra[[#This Row],[Canal]]</f>
        <v>1001734997795312100090Retail</v>
      </c>
      <c r="B48" s="3" t="s">
        <v>35</v>
      </c>
      <c r="C48" s="5">
        <v>100173499</v>
      </c>
      <c r="D48" s="4" t="s">
        <v>9</v>
      </c>
      <c r="E48" s="3">
        <v>7795312100090</v>
      </c>
      <c r="F48" s="5">
        <v>785678</v>
      </c>
      <c r="G48" s="5">
        <v>68585</v>
      </c>
      <c r="H48" s="5" t="s">
        <v>52</v>
      </c>
    </row>
    <row r="49" spans="1:8" x14ac:dyDescent="0.25">
      <c r="A49" s="3" t="str">
        <f>+Maestra[[#This Row],[SoldTO]]&amp;Maestra[[#This Row],[EAN]]&amp;Maestra[[#This Row],[Canal]]</f>
        <v>1001734997703202221800Retail</v>
      </c>
      <c r="B49" s="3" t="s">
        <v>35</v>
      </c>
      <c r="C49" s="5">
        <v>100173499</v>
      </c>
      <c r="D49" s="4" t="s">
        <v>9</v>
      </c>
      <c r="E49" s="3">
        <v>7703202221800</v>
      </c>
      <c r="F49" s="5">
        <v>893499</v>
      </c>
      <c r="G49" s="5">
        <v>84797</v>
      </c>
      <c r="H49" s="5" t="s">
        <v>53</v>
      </c>
    </row>
    <row r="50" spans="1:8" x14ac:dyDescent="0.25">
      <c r="A50" s="3" t="str">
        <f>+Maestra[[#This Row],[SoldTO]]&amp;Maestra[[#This Row],[EAN]]&amp;Maestra[[#This Row],[Canal]]</f>
        <v>1001734997703202221381Retail</v>
      </c>
      <c r="B50" s="3" t="s">
        <v>35</v>
      </c>
      <c r="C50" s="5">
        <v>100173499</v>
      </c>
      <c r="D50" s="4" t="s">
        <v>9</v>
      </c>
      <c r="E50" s="3">
        <v>7703202221381</v>
      </c>
      <c r="F50" s="5">
        <v>782089</v>
      </c>
      <c r="G50" s="5">
        <v>100904</v>
      </c>
      <c r="H50" s="5" t="s">
        <v>54</v>
      </c>
    </row>
    <row r="51" spans="1:8" x14ac:dyDescent="0.25">
      <c r="A51" s="3" t="str">
        <f>+Maestra[[#This Row],[SoldTO]]&amp;Maestra[[#This Row],[EAN]]&amp;Maestra[[#This Row],[Canal]]</f>
        <v>1001734997703202221428Retail</v>
      </c>
      <c r="B51" s="3" t="s">
        <v>35</v>
      </c>
      <c r="C51" s="5">
        <v>100173499</v>
      </c>
      <c r="D51" s="4" t="s">
        <v>9</v>
      </c>
      <c r="E51" s="3">
        <v>7703202221428</v>
      </c>
      <c r="F51" s="5">
        <v>782090</v>
      </c>
      <c r="G51" s="5">
        <v>100905</v>
      </c>
      <c r="H51" s="5" t="s">
        <v>55</v>
      </c>
    </row>
    <row r="52" spans="1:8" x14ac:dyDescent="0.25">
      <c r="A52" s="3" t="str">
        <f>+Maestra[[#This Row],[SoldTO]]&amp;Maestra[[#This Row],[EAN]]&amp;Maestra[[#This Row],[Canal]]</f>
        <v>1001734997702771001561Retail</v>
      </c>
      <c r="B52" s="3" t="s">
        <v>35</v>
      </c>
      <c r="C52" s="5">
        <v>100173499</v>
      </c>
      <c r="D52" s="4" t="s">
        <v>9</v>
      </c>
      <c r="E52" s="3">
        <v>7702771001561</v>
      </c>
      <c r="F52" s="5">
        <v>873239</v>
      </c>
      <c r="G52" s="5">
        <v>110323</v>
      </c>
      <c r="H52" s="5" t="s">
        <v>56</v>
      </c>
    </row>
    <row r="53" spans="1:8" x14ac:dyDescent="0.25">
      <c r="A53" s="3" t="str">
        <f>+Maestra[[#This Row],[SoldTO]]&amp;Maestra[[#This Row],[EAN]]&amp;Maestra[[#This Row],[Canal]]</f>
        <v>1001734997501165010444Retail</v>
      </c>
      <c r="B53" s="3" t="s">
        <v>35</v>
      </c>
      <c r="C53" s="5">
        <v>100173499</v>
      </c>
      <c r="D53" s="4" t="s">
        <v>9</v>
      </c>
      <c r="E53" s="3">
        <v>7501165010444</v>
      </c>
      <c r="F53" s="5">
        <v>600723</v>
      </c>
      <c r="G53" s="5">
        <v>118952</v>
      </c>
      <c r="H53" s="5" t="s">
        <v>57</v>
      </c>
    </row>
    <row r="54" spans="1:8" x14ac:dyDescent="0.25">
      <c r="A54" s="3" t="str">
        <f>+Maestra[[#This Row],[SoldTO]]&amp;Maestra[[#This Row],[EAN]]&amp;Maestra[[#This Row],[Canal]]</f>
        <v>1001734997703202221282Retail</v>
      </c>
      <c r="B54" s="3" t="s">
        <v>35</v>
      </c>
      <c r="C54" s="5">
        <v>100173499</v>
      </c>
      <c r="D54" s="4" t="s">
        <v>9</v>
      </c>
      <c r="E54" s="3">
        <v>7703202221282</v>
      </c>
      <c r="F54" s="5">
        <v>782085</v>
      </c>
      <c r="G54" s="5">
        <v>120610</v>
      </c>
      <c r="H54" s="5" t="s">
        <v>58</v>
      </c>
    </row>
    <row r="55" spans="1:8" x14ac:dyDescent="0.25">
      <c r="A55" s="3" t="str">
        <f>+Maestra[[#This Row],[SoldTO]]&amp;Maestra[[#This Row],[EAN]]&amp;Maestra[[#This Row],[Canal]]</f>
        <v>1001734997703202003475Retail</v>
      </c>
      <c r="B55" s="3" t="s">
        <v>35</v>
      </c>
      <c r="C55" s="5">
        <v>100173499</v>
      </c>
      <c r="D55" s="4" t="s">
        <v>9</v>
      </c>
      <c r="E55" s="3">
        <v>7703202003475</v>
      </c>
      <c r="F55" s="5">
        <v>650554</v>
      </c>
      <c r="G55" s="5">
        <v>120771</v>
      </c>
      <c r="H55" s="5" t="s">
        <v>59</v>
      </c>
    </row>
    <row r="56" spans="1:8" x14ac:dyDescent="0.25">
      <c r="A56" s="3" t="str">
        <f>+Maestra[[#This Row],[SoldTO]]&amp;Maestra[[#This Row],[EAN]]&amp;Maestra[[#This Row],[Canal]]</f>
        <v>1001734993664798064728Retail</v>
      </c>
      <c r="B56" s="3" t="s">
        <v>35</v>
      </c>
      <c r="C56" s="5">
        <v>100173499</v>
      </c>
      <c r="D56" s="4" t="s">
        <v>9</v>
      </c>
      <c r="E56" s="3">
        <v>3664798064728</v>
      </c>
      <c r="F56" s="3">
        <v>846778</v>
      </c>
      <c r="G56" s="3">
        <v>156006</v>
      </c>
      <c r="H56" s="4" t="s">
        <v>33</v>
      </c>
    </row>
    <row r="57" spans="1:8" x14ac:dyDescent="0.25">
      <c r="A57" s="3" t="str">
        <f>+Maestra[[#This Row],[SoldTO]]&amp;Maestra[[#This Row],[EAN]]&amp;Maestra[[#This Row],[Canal]]</f>
        <v>1001735127703202221244Retail</v>
      </c>
      <c r="B57" s="3" t="s">
        <v>60</v>
      </c>
      <c r="C57" s="5">
        <v>100173512</v>
      </c>
      <c r="D57" s="4" t="s">
        <v>9</v>
      </c>
      <c r="E57" s="3">
        <v>7703202221244</v>
      </c>
      <c r="F57" s="5">
        <v>782065</v>
      </c>
      <c r="G57" s="5">
        <v>6933</v>
      </c>
      <c r="H57" s="5" t="s">
        <v>36</v>
      </c>
    </row>
    <row r="58" spans="1:8" x14ac:dyDescent="0.25">
      <c r="A58" s="3" t="str">
        <f>+Maestra[[#This Row],[SoldTO]]&amp;Maestra[[#This Row],[EAN]]&amp;Maestra[[#This Row],[Canal]]</f>
        <v>1001735127703202221329Retail</v>
      </c>
      <c r="B58" s="3" t="s">
        <v>60</v>
      </c>
      <c r="C58" s="5">
        <v>100173512</v>
      </c>
      <c r="D58" s="4" t="s">
        <v>9</v>
      </c>
      <c r="E58" s="3">
        <v>7703202221329</v>
      </c>
      <c r="F58" s="5">
        <v>782092</v>
      </c>
      <c r="G58" s="5">
        <v>1271095</v>
      </c>
      <c r="H58" s="5" t="s">
        <v>37</v>
      </c>
    </row>
    <row r="59" spans="1:8" x14ac:dyDescent="0.25">
      <c r="A59" s="3" t="str">
        <f>+Maestra[[#This Row],[SoldTO]]&amp;Maestra[[#This Row],[EAN]]&amp;Maestra[[#This Row],[Canal]]</f>
        <v>1001735127703202221305Retail</v>
      </c>
      <c r="B59" s="3" t="s">
        <v>60</v>
      </c>
      <c r="C59" s="5">
        <v>100173512</v>
      </c>
      <c r="D59" s="4" t="s">
        <v>9</v>
      </c>
      <c r="E59" s="3">
        <v>7703202221305</v>
      </c>
      <c r="F59" s="5">
        <v>782086</v>
      </c>
      <c r="G59" s="5">
        <v>40999</v>
      </c>
      <c r="H59" s="5" t="s">
        <v>37</v>
      </c>
    </row>
    <row r="60" spans="1:8" x14ac:dyDescent="0.25">
      <c r="A60" s="3" t="str">
        <f>+Maestra[[#This Row],[SoldTO]]&amp;Maestra[[#This Row],[EAN]]&amp;Maestra[[#This Row],[Canal]]</f>
        <v>1001735127703202221169Retail</v>
      </c>
      <c r="B60" s="3" t="s">
        <v>60</v>
      </c>
      <c r="C60" s="5">
        <v>100173512</v>
      </c>
      <c r="D60" s="4" t="s">
        <v>9</v>
      </c>
      <c r="E60" s="3">
        <v>7703202221169</v>
      </c>
      <c r="F60" s="5">
        <v>715503</v>
      </c>
      <c r="G60" s="5">
        <v>55442</v>
      </c>
      <c r="H60" s="5" t="s">
        <v>61</v>
      </c>
    </row>
    <row r="61" spans="1:8" x14ac:dyDescent="0.25">
      <c r="A61" s="3" t="str">
        <f>+Maestra[[#This Row],[SoldTO]]&amp;Maestra[[#This Row],[EAN]]&amp;Maestra[[#This Row],[Canal]]</f>
        <v>1001735127591044007191Retail</v>
      </c>
      <c r="B61" s="3" t="s">
        <v>60</v>
      </c>
      <c r="C61" s="5">
        <v>100173512</v>
      </c>
      <c r="D61" s="4" t="s">
        <v>9</v>
      </c>
      <c r="E61" s="3">
        <v>7591044007191</v>
      </c>
      <c r="F61" s="5">
        <v>120786</v>
      </c>
      <c r="G61" s="5">
        <v>64568</v>
      </c>
      <c r="H61" s="5" t="s">
        <v>39</v>
      </c>
    </row>
    <row r="62" spans="1:8" x14ac:dyDescent="0.25">
      <c r="A62" s="3" t="str">
        <f>+Maestra[[#This Row],[SoldTO]]&amp;Maestra[[#This Row],[EAN]]&amp;Maestra[[#This Row],[Canal]]</f>
        <v>1001735127591044009447Retail</v>
      </c>
      <c r="B62" s="3" t="s">
        <v>60</v>
      </c>
      <c r="C62" s="5">
        <v>100173512</v>
      </c>
      <c r="D62" s="4" t="s">
        <v>9</v>
      </c>
      <c r="E62" s="3">
        <v>7591044009447</v>
      </c>
      <c r="F62" s="5">
        <v>120777</v>
      </c>
      <c r="G62" s="5">
        <v>9332</v>
      </c>
      <c r="H62" s="5" t="s">
        <v>40</v>
      </c>
    </row>
    <row r="63" spans="1:8" x14ac:dyDescent="0.25">
      <c r="A63" s="3" t="str">
        <f>+Maestra[[#This Row],[SoldTO]]&amp;Maestra[[#This Row],[EAN]]&amp;Maestra[[#This Row],[Canal]]</f>
        <v>1001735127591044008952Retail</v>
      </c>
      <c r="B63" s="3" t="s">
        <v>60</v>
      </c>
      <c r="C63" s="5">
        <v>100173512</v>
      </c>
      <c r="D63" s="4" t="s">
        <v>9</v>
      </c>
      <c r="E63" s="3">
        <v>7591044008952</v>
      </c>
      <c r="F63" s="5">
        <v>666269</v>
      </c>
      <c r="G63" s="5">
        <v>334003</v>
      </c>
      <c r="H63" s="5" t="s">
        <v>42</v>
      </c>
    </row>
    <row r="64" spans="1:8" x14ac:dyDescent="0.25">
      <c r="A64" s="3" t="str">
        <f>+Maestra[[#This Row],[SoldTO]]&amp;Maestra[[#This Row],[EAN]]&amp;Maestra[[#This Row],[Canal]]</f>
        <v>1001735127501165007956Retail</v>
      </c>
      <c r="B64" s="3" t="s">
        <v>60</v>
      </c>
      <c r="C64" s="5">
        <v>100173512</v>
      </c>
      <c r="D64" s="4" t="s">
        <v>9</v>
      </c>
      <c r="E64" s="3">
        <v>7501165007956</v>
      </c>
      <c r="F64" s="5">
        <v>655678</v>
      </c>
      <c r="G64" s="5">
        <v>1258820</v>
      </c>
      <c r="H64" s="5" t="s">
        <v>43</v>
      </c>
    </row>
    <row r="65" spans="1:8" x14ac:dyDescent="0.25">
      <c r="A65" s="3" t="str">
        <f>+Maestra[[#This Row],[SoldTO]]&amp;Maestra[[#This Row],[EAN]]&amp;Maestra[[#This Row],[Canal]]</f>
        <v>1001735127703202003475Retail</v>
      </c>
      <c r="B65" s="3" t="s">
        <v>60</v>
      </c>
      <c r="C65" s="5">
        <v>100173512</v>
      </c>
      <c r="D65" s="4" t="s">
        <v>9</v>
      </c>
      <c r="E65" s="3">
        <v>7703202003475</v>
      </c>
      <c r="F65" s="5">
        <v>650554</v>
      </c>
      <c r="G65" s="5">
        <v>1269901</v>
      </c>
      <c r="H65" s="5" t="s">
        <v>62</v>
      </c>
    </row>
    <row r="66" spans="1:8" x14ac:dyDescent="0.25">
      <c r="A66" s="3" t="str">
        <f>+Maestra[[#This Row],[SoldTO]]&amp;Maestra[[#This Row],[EAN]]&amp;Maestra[[#This Row],[Canal]]</f>
        <v>1001735127591044401036Retail</v>
      </c>
      <c r="B66" s="3" t="s">
        <v>60</v>
      </c>
      <c r="C66" s="5">
        <v>100173512</v>
      </c>
      <c r="D66" s="4" t="s">
        <v>9</v>
      </c>
      <c r="E66" s="3">
        <v>7591044401036</v>
      </c>
      <c r="F66" s="5">
        <v>723871</v>
      </c>
      <c r="G66" s="5">
        <v>356801</v>
      </c>
      <c r="H66" s="5" t="s">
        <v>44</v>
      </c>
    </row>
    <row r="67" spans="1:8" x14ac:dyDescent="0.25">
      <c r="A67" s="3" t="str">
        <f>+Maestra[[#This Row],[SoldTO]]&amp;Maestra[[#This Row],[EAN]]&amp;Maestra[[#This Row],[Canal]]</f>
        <v>1001735127591044009010Retail</v>
      </c>
      <c r="B67" s="3" t="s">
        <v>60</v>
      </c>
      <c r="C67" s="5">
        <v>100173512</v>
      </c>
      <c r="D67" s="4" t="s">
        <v>9</v>
      </c>
      <c r="E67" s="3">
        <v>7591044009010</v>
      </c>
      <c r="F67" s="5">
        <v>732308</v>
      </c>
      <c r="G67" s="5">
        <v>370032</v>
      </c>
      <c r="H67" s="5" t="s">
        <v>45</v>
      </c>
    </row>
    <row r="68" spans="1:8" x14ac:dyDescent="0.25">
      <c r="A68" s="3" t="str">
        <f>+Maestra[[#This Row],[SoldTO]]&amp;Maestra[[#This Row],[EAN]]&amp;Maestra[[#This Row],[Canal]]</f>
        <v>1001735127703202010329Retail</v>
      </c>
      <c r="B68" s="3" t="s">
        <v>60</v>
      </c>
      <c r="C68" s="5">
        <v>100173512</v>
      </c>
      <c r="D68" s="4" t="s">
        <v>9</v>
      </c>
      <c r="E68" s="3">
        <v>7703202010329</v>
      </c>
      <c r="F68" s="5">
        <v>341667</v>
      </c>
      <c r="G68" s="5">
        <v>370069</v>
      </c>
      <c r="H68" s="5" t="s">
        <v>46</v>
      </c>
    </row>
    <row r="69" spans="1:8" x14ac:dyDescent="0.25">
      <c r="A69" s="3" t="str">
        <f>+Maestra[[#This Row],[SoldTO]]&amp;Maestra[[#This Row],[EAN]]&amp;Maestra[[#This Row],[Canal]]</f>
        <v>1001735127703202221220Retail</v>
      </c>
      <c r="B69" s="3" t="s">
        <v>60</v>
      </c>
      <c r="C69" s="5">
        <v>100173512</v>
      </c>
      <c r="D69" s="4" t="s">
        <v>9</v>
      </c>
      <c r="E69" s="3">
        <v>7703202221220</v>
      </c>
      <c r="F69" s="5">
        <v>781955</v>
      </c>
      <c r="G69" s="5">
        <v>372646</v>
      </c>
      <c r="H69" s="5" t="s">
        <v>47</v>
      </c>
    </row>
    <row r="70" spans="1:8" x14ac:dyDescent="0.25">
      <c r="A70" s="3" t="str">
        <f>+Maestra[[#This Row],[SoldTO]]&amp;Maestra[[#This Row],[EAN]]&amp;Maestra[[#This Row],[Canal]]</f>
        <v>1001735127703202221336Retail</v>
      </c>
      <c r="B70" s="3" t="s">
        <v>60</v>
      </c>
      <c r="C70" s="5">
        <v>100173512</v>
      </c>
      <c r="D70" s="4" t="s">
        <v>9</v>
      </c>
      <c r="E70" s="3">
        <v>7703202221336</v>
      </c>
      <c r="F70" s="5">
        <v>782093</v>
      </c>
      <c r="G70" s="5">
        <v>1271096</v>
      </c>
      <c r="H70" s="5" t="s">
        <v>48</v>
      </c>
    </row>
    <row r="71" spans="1:8" x14ac:dyDescent="0.25">
      <c r="A71" s="3" t="str">
        <f>+Maestra[[#This Row],[SoldTO]]&amp;Maestra[[#This Row],[EAN]]&amp;Maestra[[#This Row],[Canal]]</f>
        <v>1001735123582910009900Retail</v>
      </c>
      <c r="B71" s="3" t="s">
        <v>60</v>
      </c>
      <c r="C71" s="5">
        <v>100173512</v>
      </c>
      <c r="D71" s="4" t="s">
        <v>9</v>
      </c>
      <c r="E71" s="3">
        <v>3582910009900</v>
      </c>
      <c r="F71" s="5">
        <v>873229</v>
      </c>
      <c r="G71" s="5">
        <v>928520</v>
      </c>
      <c r="H71" s="5" t="s">
        <v>49</v>
      </c>
    </row>
    <row r="72" spans="1:8" x14ac:dyDescent="0.25">
      <c r="A72" s="3" t="str">
        <f>+Maestra[[#This Row],[SoldTO]]&amp;Maestra[[#This Row],[EAN]]&amp;Maestra[[#This Row],[Canal]]</f>
        <v>1001735127703202221275Retail</v>
      </c>
      <c r="B72" s="3" t="s">
        <v>60</v>
      </c>
      <c r="C72" s="5">
        <v>100173512</v>
      </c>
      <c r="D72" s="4" t="s">
        <v>9</v>
      </c>
      <c r="E72" s="3">
        <v>7703202221275</v>
      </c>
      <c r="F72" s="5">
        <v>782074</v>
      </c>
      <c r="G72" s="5">
        <v>934211</v>
      </c>
      <c r="H72" s="5" t="s">
        <v>50</v>
      </c>
    </row>
    <row r="73" spans="1:8" x14ac:dyDescent="0.25">
      <c r="A73" s="3" t="str">
        <f>+Maestra[[#This Row],[SoldTO]]&amp;Maestra[[#This Row],[EAN]]&amp;Maestra[[#This Row],[Canal]]</f>
        <v>1001735127703202221176Retail</v>
      </c>
      <c r="B73" s="3" t="s">
        <v>60</v>
      </c>
      <c r="C73" s="5">
        <v>100173512</v>
      </c>
      <c r="D73" s="4" t="s">
        <v>9</v>
      </c>
      <c r="E73" s="3">
        <v>7703202221176</v>
      </c>
      <c r="F73" s="5">
        <v>715717</v>
      </c>
      <c r="G73" s="5">
        <v>982597</v>
      </c>
      <c r="H73" s="5" t="s">
        <v>51</v>
      </c>
    </row>
    <row r="74" spans="1:8" x14ac:dyDescent="0.25">
      <c r="A74" s="3" t="str">
        <f>+Maestra[[#This Row],[SoldTO]]&amp;Maestra[[#This Row],[EAN]]&amp;Maestra[[#This Row],[Canal]]</f>
        <v>1001735127703381002146Retail</v>
      </c>
      <c r="B74" s="3" t="s">
        <v>60</v>
      </c>
      <c r="C74" s="5">
        <v>100173512</v>
      </c>
      <c r="D74" s="4" t="s">
        <v>9</v>
      </c>
      <c r="E74" s="3">
        <v>7703381002146</v>
      </c>
      <c r="F74" s="5">
        <v>715717</v>
      </c>
      <c r="G74" s="5">
        <v>982597</v>
      </c>
      <c r="H74" s="5" t="s">
        <v>51</v>
      </c>
    </row>
    <row r="75" spans="1:8" x14ac:dyDescent="0.25">
      <c r="A75" s="3" t="str">
        <f>+Maestra[[#This Row],[SoldTO]]&amp;Maestra[[#This Row],[EAN]]&amp;Maestra[[#This Row],[Canal]]</f>
        <v>1001735127703202221152Retail</v>
      </c>
      <c r="B75" s="3" t="s">
        <v>60</v>
      </c>
      <c r="C75" s="5">
        <v>100173512</v>
      </c>
      <c r="D75" s="4" t="s">
        <v>9</v>
      </c>
      <c r="E75" s="3">
        <v>7703202221152</v>
      </c>
      <c r="F75" s="5">
        <v>715506</v>
      </c>
      <c r="G75" s="5">
        <v>1087419</v>
      </c>
      <c r="H75" s="5" t="s">
        <v>63</v>
      </c>
    </row>
    <row r="76" spans="1:8" x14ac:dyDescent="0.25">
      <c r="A76" s="3" t="str">
        <f>+Maestra[[#This Row],[SoldTO]]&amp;Maestra[[#This Row],[EAN]]&amp;Maestra[[#This Row],[Canal]]</f>
        <v>1001735127795312100090Retail</v>
      </c>
      <c r="B76" s="3" t="s">
        <v>60</v>
      </c>
      <c r="C76" s="5">
        <v>100173512</v>
      </c>
      <c r="D76" s="4" t="s">
        <v>9</v>
      </c>
      <c r="E76" s="3">
        <v>7795312100090</v>
      </c>
      <c r="F76" s="5">
        <v>785678</v>
      </c>
      <c r="G76" s="5">
        <v>1167480</v>
      </c>
      <c r="H76" s="5" t="s">
        <v>52</v>
      </c>
    </row>
    <row r="77" spans="1:8" x14ac:dyDescent="0.25">
      <c r="A77" s="3" t="str">
        <f>+Maestra[[#This Row],[SoldTO]]&amp;Maestra[[#This Row],[EAN]]&amp;Maestra[[#This Row],[Canal]]</f>
        <v>1001735127702605107407Retail</v>
      </c>
      <c r="B77" s="3" t="s">
        <v>60</v>
      </c>
      <c r="C77" s="5">
        <v>100173512</v>
      </c>
      <c r="D77" s="4" t="s">
        <v>9</v>
      </c>
      <c r="E77" s="3">
        <v>7702605107407</v>
      </c>
      <c r="F77" s="5">
        <v>893499</v>
      </c>
      <c r="G77" s="5">
        <v>1222416</v>
      </c>
      <c r="H77" s="5" t="s">
        <v>53</v>
      </c>
    </row>
    <row r="78" spans="1:8" x14ac:dyDescent="0.25">
      <c r="A78" s="3" t="str">
        <f>+Maestra[[#This Row],[SoldTO]]&amp;Maestra[[#This Row],[EAN]]&amp;Maestra[[#This Row],[Canal]]</f>
        <v>1001735127703202221381Retail</v>
      </c>
      <c r="B78" s="3" t="s">
        <v>60</v>
      </c>
      <c r="C78" s="5">
        <v>100173512</v>
      </c>
      <c r="D78" s="4" t="s">
        <v>9</v>
      </c>
      <c r="E78" s="3">
        <v>7703202221381</v>
      </c>
      <c r="F78" s="5">
        <v>782089</v>
      </c>
      <c r="G78" s="5">
        <v>1262181</v>
      </c>
      <c r="H78" s="5" t="s">
        <v>54</v>
      </c>
    </row>
    <row r="79" spans="1:8" x14ac:dyDescent="0.25">
      <c r="A79" s="3" t="str">
        <f>+Maestra[[#This Row],[SoldTO]]&amp;Maestra[[#This Row],[EAN]]&amp;Maestra[[#This Row],[Canal]]</f>
        <v>1001735127703202221428Retail</v>
      </c>
      <c r="B79" s="3" t="s">
        <v>60</v>
      </c>
      <c r="C79" s="5">
        <v>100173512</v>
      </c>
      <c r="D79" s="4" t="s">
        <v>9</v>
      </c>
      <c r="E79" s="3">
        <v>7703202221428</v>
      </c>
      <c r="F79" s="5">
        <v>782090</v>
      </c>
      <c r="G79" s="5">
        <v>1262222</v>
      </c>
      <c r="H79" s="5" t="s">
        <v>55</v>
      </c>
    </row>
    <row r="80" spans="1:8" x14ac:dyDescent="0.25">
      <c r="A80" s="3" t="str">
        <f>+Maestra[[#This Row],[SoldTO]]&amp;Maestra[[#This Row],[EAN]]&amp;Maestra[[#This Row],[Canal]]</f>
        <v>1001735127702771001561Retail</v>
      </c>
      <c r="B80" s="3" t="s">
        <v>60</v>
      </c>
      <c r="C80" s="5">
        <v>100173512</v>
      </c>
      <c r="D80" s="4" t="s">
        <v>9</v>
      </c>
      <c r="E80" s="3">
        <v>7702771001561</v>
      </c>
      <c r="F80" s="5">
        <v>873239</v>
      </c>
      <c r="G80" s="5">
        <v>1266274</v>
      </c>
      <c r="H80" s="5" t="s">
        <v>56</v>
      </c>
    </row>
    <row r="81" spans="1:8" x14ac:dyDescent="0.25">
      <c r="A81" s="3" t="str">
        <f>+Maestra[[#This Row],[SoldTO]]&amp;Maestra[[#This Row],[EAN]]&amp;Maestra[[#This Row],[Canal]]</f>
        <v>1001735127501165010444Retail</v>
      </c>
      <c r="B81" s="3" t="s">
        <v>60</v>
      </c>
      <c r="C81" s="5">
        <v>100173512</v>
      </c>
      <c r="D81" s="4" t="s">
        <v>9</v>
      </c>
      <c r="E81" s="3">
        <v>7501165010444</v>
      </c>
      <c r="F81" s="5">
        <v>600723</v>
      </c>
      <c r="G81" s="5">
        <v>1268666</v>
      </c>
      <c r="H81" s="5" t="s">
        <v>57</v>
      </c>
    </row>
    <row r="82" spans="1:8" x14ac:dyDescent="0.25">
      <c r="A82" s="3" t="str">
        <f>+Maestra[[#This Row],[SoldTO]]&amp;Maestra[[#This Row],[EAN]]&amp;Maestra[[#This Row],[Canal]]</f>
        <v>1001735123664798064728Retail</v>
      </c>
      <c r="B82" s="3" t="s">
        <v>60</v>
      </c>
      <c r="C82" s="5">
        <v>100173512</v>
      </c>
      <c r="D82" s="4" t="s">
        <v>9</v>
      </c>
      <c r="E82" s="7">
        <v>3664798064728</v>
      </c>
      <c r="F82" s="4">
        <v>846778</v>
      </c>
      <c r="G82" s="5">
        <v>1297614</v>
      </c>
      <c r="H82" s="5" t="s">
        <v>33</v>
      </c>
    </row>
    <row r="83" spans="1:8" x14ac:dyDescent="0.25">
      <c r="A83" s="3" t="str">
        <f>+Maestra[[#This Row],[SoldTO]]&amp;Maestra[[#This Row],[EAN]]&amp;Maestra[[#This Row],[Canal]]</f>
        <v>1001735127703202221244Institucional</v>
      </c>
      <c r="B83" s="8" t="s">
        <v>60</v>
      </c>
      <c r="C83" s="3">
        <v>100173512</v>
      </c>
      <c r="D83" s="9" t="s">
        <v>64</v>
      </c>
      <c r="E83" s="8">
        <v>7703202221244</v>
      </c>
      <c r="F83" s="8">
        <v>782065</v>
      </c>
      <c r="G83" s="8">
        <v>391926</v>
      </c>
      <c r="H83" s="9" t="s">
        <v>36</v>
      </c>
    </row>
    <row r="84" spans="1:8" x14ac:dyDescent="0.25">
      <c r="A84" s="3" t="str">
        <f>+Maestra[[#This Row],[SoldTO]]&amp;Maestra[[#This Row],[EAN]]&amp;Maestra[[#This Row],[Canal]]</f>
        <v>1001735127703202221305Institucional</v>
      </c>
      <c r="B84" s="8" t="s">
        <v>60</v>
      </c>
      <c r="C84" s="3">
        <v>100173512</v>
      </c>
      <c r="D84" s="9" t="s">
        <v>64</v>
      </c>
      <c r="E84" s="8">
        <v>7703202221305</v>
      </c>
      <c r="F84" s="8">
        <v>782086</v>
      </c>
      <c r="G84" s="8">
        <v>1261915</v>
      </c>
      <c r="H84" s="9" t="s">
        <v>65</v>
      </c>
    </row>
    <row r="85" spans="1:8" x14ac:dyDescent="0.25">
      <c r="A85" s="3" t="str">
        <f>+Maestra[[#This Row],[SoldTO]]&amp;Maestra[[#This Row],[EAN]]&amp;Maestra[[#This Row],[Canal]]</f>
        <v>1001735127703202221312Institucional</v>
      </c>
      <c r="B85" s="8" t="s">
        <v>60</v>
      </c>
      <c r="C85" s="3">
        <v>100173512</v>
      </c>
      <c r="D85" s="9" t="s">
        <v>64</v>
      </c>
      <c r="E85" s="8">
        <v>7703202221312</v>
      </c>
      <c r="F85" s="8">
        <v>782091</v>
      </c>
      <c r="G85" s="8">
        <v>1270905</v>
      </c>
      <c r="H85" s="9" t="s">
        <v>66</v>
      </c>
    </row>
    <row r="86" spans="1:8" x14ac:dyDescent="0.25">
      <c r="A86" s="3" t="str">
        <f>+Maestra[[#This Row],[SoldTO]]&amp;Maestra[[#This Row],[EAN]]&amp;Maestra[[#This Row],[Canal]]</f>
        <v>1001735127703202221169Institucional</v>
      </c>
      <c r="B86" s="8" t="s">
        <v>60</v>
      </c>
      <c r="C86" s="3">
        <v>100173512</v>
      </c>
      <c r="D86" s="9" t="s">
        <v>64</v>
      </c>
      <c r="E86" s="8">
        <v>7703202221169</v>
      </c>
      <c r="F86" s="8">
        <v>715503</v>
      </c>
      <c r="G86" s="8">
        <v>391918</v>
      </c>
      <c r="H86" s="9" t="s">
        <v>38</v>
      </c>
    </row>
    <row r="87" spans="1:8" x14ac:dyDescent="0.25">
      <c r="A87" s="3" t="str">
        <f>+Maestra[[#This Row],[SoldTO]]&amp;Maestra[[#This Row],[EAN]]&amp;Maestra[[#This Row],[Canal]]</f>
        <v>1001735127591044007191Institucional</v>
      </c>
      <c r="B87" s="8" t="s">
        <v>60</v>
      </c>
      <c r="C87" s="3">
        <v>100173512</v>
      </c>
      <c r="D87" s="9" t="s">
        <v>64</v>
      </c>
      <c r="E87" s="8">
        <v>7591044007191</v>
      </c>
      <c r="F87" s="8">
        <v>120786</v>
      </c>
      <c r="G87" s="8">
        <v>1267251</v>
      </c>
      <c r="H87" s="9" t="s">
        <v>39</v>
      </c>
    </row>
    <row r="88" spans="1:8" x14ac:dyDescent="0.25">
      <c r="A88" s="3" t="str">
        <f>+Maestra[[#This Row],[SoldTO]]&amp;Maestra[[#This Row],[EAN]]&amp;Maestra[[#This Row],[Canal]]</f>
        <v>1001735127591044009447Institucional</v>
      </c>
      <c r="B88" s="8" t="s">
        <v>60</v>
      </c>
      <c r="C88" s="3">
        <v>100173512</v>
      </c>
      <c r="D88" s="9" t="s">
        <v>64</v>
      </c>
      <c r="E88" s="8">
        <v>7591044009447</v>
      </c>
      <c r="F88" s="8">
        <v>120777</v>
      </c>
      <c r="G88" s="8">
        <v>1267274</v>
      </c>
      <c r="H88" s="9" t="s">
        <v>40</v>
      </c>
    </row>
    <row r="89" spans="1:8" x14ac:dyDescent="0.25">
      <c r="A89" s="3" t="str">
        <f>+Maestra[[#This Row],[SoldTO]]&amp;Maestra[[#This Row],[EAN]]&amp;Maestra[[#This Row],[Canal]]</f>
        <v>1001735127591044008952Institucional</v>
      </c>
      <c r="B89" s="8" t="s">
        <v>60</v>
      </c>
      <c r="C89" s="3">
        <v>100173512</v>
      </c>
      <c r="D89" s="9" t="s">
        <v>64</v>
      </c>
      <c r="E89" s="8">
        <v>7591044008952</v>
      </c>
      <c r="F89" s="8">
        <v>666269</v>
      </c>
      <c r="G89" s="8">
        <v>1166205</v>
      </c>
      <c r="H89" s="9" t="s">
        <v>42</v>
      </c>
    </row>
    <row r="90" spans="1:8" x14ac:dyDescent="0.25">
      <c r="A90" s="3" t="str">
        <f>+Maestra[[#This Row],[SoldTO]]&amp;Maestra[[#This Row],[EAN]]&amp;Maestra[[#This Row],[Canal]]</f>
        <v>1001735127501165007956Institucional</v>
      </c>
      <c r="B90" s="8" t="s">
        <v>60</v>
      </c>
      <c r="C90" s="3">
        <v>100173512</v>
      </c>
      <c r="D90" s="9" t="s">
        <v>64</v>
      </c>
      <c r="E90" s="8">
        <v>7501165007956</v>
      </c>
      <c r="F90" s="8">
        <v>655678</v>
      </c>
      <c r="G90" s="8">
        <v>1271062</v>
      </c>
      <c r="H90" s="9" t="s">
        <v>43</v>
      </c>
    </row>
    <row r="91" spans="1:8" x14ac:dyDescent="0.25">
      <c r="A91" s="3" t="str">
        <f>+Maestra[[#This Row],[SoldTO]]&amp;Maestra[[#This Row],[EAN]]&amp;Maestra[[#This Row],[Canal]]</f>
        <v>1001735127591044401036Institucional</v>
      </c>
      <c r="B91" s="8" t="s">
        <v>60</v>
      </c>
      <c r="C91" s="3">
        <v>100173512</v>
      </c>
      <c r="D91" s="9" t="s">
        <v>64</v>
      </c>
      <c r="E91" s="8">
        <v>7591044401036</v>
      </c>
      <c r="F91" s="8">
        <v>723871</v>
      </c>
      <c r="G91" s="8">
        <v>1267481</v>
      </c>
      <c r="H91" s="9" t="s">
        <v>44</v>
      </c>
    </row>
    <row r="92" spans="1:8" x14ac:dyDescent="0.25">
      <c r="A92" s="3" t="str">
        <f>+Maestra[[#This Row],[SoldTO]]&amp;Maestra[[#This Row],[EAN]]&amp;Maestra[[#This Row],[Canal]]</f>
        <v>1001735127591044009010Institucional</v>
      </c>
      <c r="B92" s="8" t="s">
        <v>60</v>
      </c>
      <c r="C92" s="3">
        <v>100173512</v>
      </c>
      <c r="D92" s="9" t="s">
        <v>64</v>
      </c>
      <c r="E92" s="8">
        <v>7591044009010</v>
      </c>
      <c r="F92" s="8">
        <v>732308</v>
      </c>
      <c r="G92" s="8">
        <v>1166206</v>
      </c>
      <c r="H92" s="9" t="s">
        <v>45</v>
      </c>
    </row>
    <row r="93" spans="1:8" x14ac:dyDescent="0.25">
      <c r="A93" s="3" t="str">
        <f>+Maestra[[#This Row],[SoldTO]]&amp;Maestra[[#This Row],[EAN]]&amp;Maestra[[#This Row],[Canal]]</f>
        <v>1001735127703202010329Institucional</v>
      </c>
      <c r="B93" s="8" t="s">
        <v>60</v>
      </c>
      <c r="C93" s="3">
        <v>100173512</v>
      </c>
      <c r="D93" s="9" t="s">
        <v>64</v>
      </c>
      <c r="E93" s="8">
        <v>7703202010329</v>
      </c>
      <c r="F93" s="8">
        <v>341667</v>
      </c>
      <c r="G93" s="8">
        <v>1270898</v>
      </c>
      <c r="H93" s="9" t="s">
        <v>46</v>
      </c>
    </row>
    <row r="94" spans="1:8" x14ac:dyDescent="0.25">
      <c r="A94" s="3" t="str">
        <f>+Maestra[[#This Row],[SoldTO]]&amp;Maestra[[#This Row],[EAN]]&amp;Maestra[[#This Row],[Canal]]</f>
        <v>1001735127703381002146Institucional</v>
      </c>
      <c r="B94" s="8" t="s">
        <v>60</v>
      </c>
      <c r="C94" s="3">
        <v>100173512</v>
      </c>
      <c r="D94" s="9" t="s">
        <v>64</v>
      </c>
      <c r="E94" s="8">
        <v>7703381002146</v>
      </c>
      <c r="F94" s="8">
        <v>715717</v>
      </c>
      <c r="G94" s="8">
        <v>1261846</v>
      </c>
      <c r="H94" s="9" t="s">
        <v>51</v>
      </c>
    </row>
    <row r="95" spans="1:8" x14ac:dyDescent="0.25">
      <c r="A95" s="3" t="str">
        <f>+Maestra[[#This Row],[SoldTO]]&amp;Maestra[[#This Row],[EAN]]&amp;Maestra[[#This Row],[Canal]]</f>
        <v>1001735127703202221152Institucional</v>
      </c>
      <c r="B95" s="8" t="s">
        <v>60</v>
      </c>
      <c r="C95" s="3">
        <v>100173512</v>
      </c>
      <c r="D95" s="9" t="s">
        <v>64</v>
      </c>
      <c r="E95" s="8">
        <v>7703202221152</v>
      </c>
      <c r="F95" s="8">
        <v>715506</v>
      </c>
      <c r="G95" s="8">
        <v>1284625</v>
      </c>
      <c r="H95" s="9" t="s">
        <v>38</v>
      </c>
    </row>
    <row r="96" spans="1:8" x14ac:dyDescent="0.25">
      <c r="A96" s="3" t="str">
        <f>+Maestra[[#This Row],[SoldTO]]&amp;Maestra[[#This Row],[EAN]]&amp;Maestra[[#This Row],[Canal]]</f>
        <v>1001735127795312100090Institucional</v>
      </c>
      <c r="B96" s="8" t="s">
        <v>60</v>
      </c>
      <c r="C96" s="3">
        <v>100173512</v>
      </c>
      <c r="D96" s="9" t="s">
        <v>64</v>
      </c>
      <c r="E96" s="8">
        <v>7795312100090</v>
      </c>
      <c r="F96" s="8">
        <v>785678</v>
      </c>
      <c r="G96" s="8">
        <v>1260643</v>
      </c>
      <c r="H96" s="9" t="s">
        <v>52</v>
      </c>
    </row>
    <row r="97" spans="1:8" x14ac:dyDescent="0.25">
      <c r="A97" s="3" t="str">
        <f>+Maestra[[#This Row],[SoldTO]]&amp;Maestra[[#This Row],[EAN]]&amp;Maestra[[#This Row],[Canal]]</f>
        <v>1001735127702605107407Institucional</v>
      </c>
      <c r="B97" s="8" t="s">
        <v>60</v>
      </c>
      <c r="C97" s="3">
        <v>100173512</v>
      </c>
      <c r="D97" s="9" t="s">
        <v>64</v>
      </c>
      <c r="E97" s="8">
        <v>7702605107407</v>
      </c>
      <c r="F97" s="8">
        <v>893499</v>
      </c>
      <c r="G97" s="8">
        <v>1251857</v>
      </c>
      <c r="H97" s="9" t="s">
        <v>53</v>
      </c>
    </row>
    <row r="98" spans="1:8" x14ac:dyDescent="0.25">
      <c r="A98" s="3" t="str">
        <f>+Maestra[[#This Row],[SoldTO]]&amp;Maestra[[#This Row],[EAN]]&amp;Maestra[[#This Row],[Canal]]</f>
        <v>1001735127703202221381Institucional</v>
      </c>
      <c r="B98" s="8" t="s">
        <v>60</v>
      </c>
      <c r="C98" s="3">
        <v>100173512</v>
      </c>
      <c r="D98" s="9" t="s">
        <v>64</v>
      </c>
      <c r="E98" s="8">
        <v>7703202221381</v>
      </c>
      <c r="F98" s="8">
        <v>782089</v>
      </c>
      <c r="G98" s="8">
        <v>1289603</v>
      </c>
      <c r="H98" s="9" t="s">
        <v>54</v>
      </c>
    </row>
    <row r="99" spans="1:8" x14ac:dyDescent="0.25">
      <c r="A99" s="3" t="str">
        <f>+Maestra[[#This Row],[SoldTO]]&amp;Maestra[[#This Row],[EAN]]&amp;Maestra[[#This Row],[Canal]]</f>
        <v>1001735127703202221428Institucional</v>
      </c>
      <c r="B99" s="8" t="s">
        <v>60</v>
      </c>
      <c r="C99" s="3">
        <v>100173512</v>
      </c>
      <c r="D99" s="9" t="s">
        <v>64</v>
      </c>
      <c r="E99" s="8">
        <v>7703202221428</v>
      </c>
      <c r="F99" s="8">
        <v>782090</v>
      </c>
      <c r="G99" s="8">
        <v>1271562</v>
      </c>
      <c r="H99" s="9" t="s">
        <v>55</v>
      </c>
    </row>
    <row r="100" spans="1:8" x14ac:dyDescent="0.25">
      <c r="A100" s="3" t="str">
        <f>+Maestra[[#This Row],[SoldTO]]&amp;Maestra[[#This Row],[EAN]]&amp;Maestra[[#This Row],[Canal]]</f>
        <v>1001735127702771001561Institucional</v>
      </c>
      <c r="B100" s="8" t="s">
        <v>60</v>
      </c>
      <c r="C100" s="3">
        <v>100173512</v>
      </c>
      <c r="D100" s="9" t="s">
        <v>64</v>
      </c>
      <c r="E100" s="8">
        <v>7702771001561</v>
      </c>
      <c r="F100" s="8">
        <v>873239</v>
      </c>
      <c r="G100" s="8">
        <v>1270904</v>
      </c>
      <c r="H100" s="9" t="s">
        <v>56</v>
      </c>
    </row>
    <row r="101" spans="1:8" x14ac:dyDescent="0.25">
      <c r="A101" s="3" t="str">
        <f>+Maestra[[#This Row],[SoldTO]]&amp;Maestra[[#This Row],[EAN]]&amp;Maestra[[#This Row],[Canal]]</f>
        <v>1001735127703202221282Institucional</v>
      </c>
      <c r="B101" s="8" t="s">
        <v>60</v>
      </c>
      <c r="C101" s="3">
        <v>100173512</v>
      </c>
      <c r="D101" s="9" t="s">
        <v>64</v>
      </c>
      <c r="E101" s="8">
        <v>7703202221282</v>
      </c>
      <c r="F101" s="8">
        <v>782085</v>
      </c>
      <c r="G101" s="8">
        <v>1276014</v>
      </c>
      <c r="H101" s="9" t="s">
        <v>58</v>
      </c>
    </row>
    <row r="102" spans="1:8" x14ac:dyDescent="0.25">
      <c r="A102" s="3" t="str">
        <f>+Maestra[[#This Row],[SoldTO]]&amp;Maestra[[#This Row],[EAN]]&amp;Maestra[[#This Row],[Canal]]</f>
        <v>1001735123582910009900Institucional</v>
      </c>
      <c r="B102" s="3" t="s">
        <v>60</v>
      </c>
      <c r="C102" s="3">
        <v>100173512</v>
      </c>
      <c r="D102" s="5" t="s">
        <v>64</v>
      </c>
      <c r="E102" s="3">
        <v>3582910009900</v>
      </c>
      <c r="F102" s="3">
        <v>873229</v>
      </c>
      <c r="G102" s="5">
        <v>1165164</v>
      </c>
      <c r="H102" s="5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tabSelected="1" workbookViewId="0">
      <selection activeCell="C14" sqref="C14"/>
    </sheetView>
  </sheetViews>
  <sheetFormatPr baseColWidth="10" defaultRowHeight="15" x14ac:dyDescent="0.25"/>
  <cols>
    <col min="1" max="1" width="9.570312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12">
        <v>10</v>
      </c>
      <c r="B2" s="13" t="s">
        <v>70</v>
      </c>
      <c r="C2" s="13" t="s">
        <v>71</v>
      </c>
    </row>
    <row r="3" spans="1:3" x14ac:dyDescent="0.25">
      <c r="A3" s="12" t="s">
        <v>72</v>
      </c>
      <c r="B3" s="13" t="s">
        <v>73</v>
      </c>
      <c r="C3" s="13" t="s">
        <v>74</v>
      </c>
    </row>
    <row r="4" spans="1:3" x14ac:dyDescent="0.25">
      <c r="A4" s="12" t="s">
        <v>75</v>
      </c>
      <c r="B4" s="13" t="s">
        <v>76</v>
      </c>
      <c r="C4" s="13" t="s">
        <v>77</v>
      </c>
    </row>
    <row r="5" spans="1:3" x14ac:dyDescent="0.25">
      <c r="A5" s="12" t="s">
        <v>78</v>
      </c>
      <c r="B5" s="13" t="s">
        <v>79</v>
      </c>
      <c r="C5" s="13" t="s">
        <v>80</v>
      </c>
    </row>
    <row r="6" spans="1:3" x14ac:dyDescent="0.25">
      <c r="A6" s="12" t="s">
        <v>81</v>
      </c>
      <c r="B6" s="13" t="s">
        <v>82</v>
      </c>
      <c r="C6" s="13" t="s">
        <v>83</v>
      </c>
    </row>
    <row r="7" spans="1:3" x14ac:dyDescent="0.25">
      <c r="A7" s="12" t="s">
        <v>84</v>
      </c>
      <c r="B7" s="13" t="s">
        <v>85</v>
      </c>
      <c r="C7" s="13" t="s">
        <v>86</v>
      </c>
    </row>
    <row r="8" spans="1:3" x14ac:dyDescent="0.25">
      <c r="A8" s="12" t="s">
        <v>87</v>
      </c>
      <c r="B8" s="13" t="s">
        <v>88</v>
      </c>
      <c r="C8" s="13" t="s">
        <v>86</v>
      </c>
    </row>
    <row r="9" spans="1:3" x14ac:dyDescent="0.25">
      <c r="A9" s="12" t="s">
        <v>89</v>
      </c>
      <c r="B9" s="13" t="s">
        <v>90</v>
      </c>
      <c r="C9" s="13" t="s">
        <v>91</v>
      </c>
    </row>
    <row r="10" spans="1:3" x14ac:dyDescent="0.25">
      <c r="A10" s="12" t="s">
        <v>92</v>
      </c>
      <c r="B10" s="13" t="s">
        <v>93</v>
      </c>
      <c r="C10" s="13" t="s">
        <v>94</v>
      </c>
    </row>
    <row r="11" spans="1:3" x14ac:dyDescent="0.25">
      <c r="A11" s="12" t="s">
        <v>95</v>
      </c>
      <c r="B11" s="13" t="s">
        <v>96</v>
      </c>
      <c r="C11" s="13" t="s">
        <v>97</v>
      </c>
    </row>
    <row r="12" spans="1:3" x14ac:dyDescent="0.25">
      <c r="A12" s="12" t="s">
        <v>98</v>
      </c>
      <c r="B12" s="13" t="s">
        <v>99</v>
      </c>
      <c r="C12" s="13" t="s">
        <v>100</v>
      </c>
    </row>
    <row r="13" spans="1:3" x14ac:dyDescent="0.25">
      <c r="A13" s="12" t="s">
        <v>101</v>
      </c>
      <c r="B13" s="13" t="s">
        <v>102</v>
      </c>
      <c r="C13" s="13" t="s">
        <v>100</v>
      </c>
    </row>
    <row r="14" spans="1:3" x14ac:dyDescent="0.25">
      <c r="A14" s="12" t="s">
        <v>103</v>
      </c>
      <c r="B14" s="13" t="s">
        <v>104</v>
      </c>
      <c r="C14" s="13" t="s">
        <v>141</v>
      </c>
    </row>
    <row r="15" spans="1:3" x14ac:dyDescent="0.25">
      <c r="A15" s="12" t="s">
        <v>105</v>
      </c>
      <c r="B15" s="13" t="s">
        <v>106</v>
      </c>
      <c r="C15" s="13" t="s">
        <v>100</v>
      </c>
    </row>
    <row r="16" spans="1:3" x14ac:dyDescent="0.25">
      <c r="A16" s="12" t="s">
        <v>107</v>
      </c>
      <c r="B16" s="13"/>
      <c r="C16" s="13" t="s">
        <v>108</v>
      </c>
    </row>
    <row r="17" spans="1:3" x14ac:dyDescent="0.25">
      <c r="A17" s="12" t="s">
        <v>109</v>
      </c>
      <c r="B17" s="13" t="s">
        <v>110</v>
      </c>
      <c r="C17" s="14" t="s">
        <v>100</v>
      </c>
    </row>
    <row r="18" spans="1:3" x14ac:dyDescent="0.25">
      <c r="A18" s="12" t="s">
        <v>111</v>
      </c>
      <c r="B18" s="13" t="s">
        <v>112</v>
      </c>
      <c r="C18" s="13" t="s">
        <v>100</v>
      </c>
    </row>
    <row r="19" spans="1:3" x14ac:dyDescent="0.25">
      <c r="A19" s="12" t="s">
        <v>113</v>
      </c>
      <c r="B19" s="13" t="s">
        <v>114</v>
      </c>
      <c r="C19" s="13" t="s">
        <v>100</v>
      </c>
    </row>
    <row r="20" spans="1:3" x14ac:dyDescent="0.25">
      <c r="A20" s="12" t="s">
        <v>115</v>
      </c>
      <c r="B20" s="13" t="s">
        <v>116</v>
      </c>
      <c r="C20" s="13" t="s">
        <v>91</v>
      </c>
    </row>
    <row r="21" spans="1:3" x14ac:dyDescent="0.25">
      <c r="A21" s="12" t="s">
        <v>117</v>
      </c>
      <c r="B21" s="13" t="s">
        <v>118</v>
      </c>
      <c r="C21" s="13" t="s">
        <v>119</v>
      </c>
    </row>
    <row r="22" spans="1:3" x14ac:dyDescent="0.25">
      <c r="A22" s="12" t="s">
        <v>120</v>
      </c>
      <c r="B22" s="13" t="s">
        <v>121</v>
      </c>
      <c r="C22" s="13" t="s">
        <v>122</v>
      </c>
    </row>
    <row r="23" spans="1:3" x14ac:dyDescent="0.25">
      <c r="A23" s="12" t="s">
        <v>123</v>
      </c>
      <c r="B23" s="13" t="s">
        <v>124</v>
      </c>
      <c r="C23" s="13" t="s">
        <v>125</v>
      </c>
    </row>
    <row r="24" spans="1:3" x14ac:dyDescent="0.25">
      <c r="A24" s="12" t="s">
        <v>126</v>
      </c>
      <c r="B24" s="13" t="s">
        <v>127</v>
      </c>
      <c r="C24" s="13" t="s">
        <v>128</v>
      </c>
    </row>
    <row r="25" spans="1:3" x14ac:dyDescent="0.25">
      <c r="A25" s="12" t="s">
        <v>129</v>
      </c>
      <c r="B25" s="13" t="s">
        <v>130</v>
      </c>
      <c r="C25" s="13" t="s">
        <v>131</v>
      </c>
    </row>
    <row r="26" spans="1:3" x14ac:dyDescent="0.25">
      <c r="A26" s="12" t="s">
        <v>132</v>
      </c>
      <c r="B26" s="13" t="s">
        <v>133</v>
      </c>
      <c r="C26" s="13" t="s">
        <v>134</v>
      </c>
    </row>
    <row r="27" spans="1:3" x14ac:dyDescent="0.25">
      <c r="A27" s="12" t="s">
        <v>135</v>
      </c>
      <c r="B27" s="13" t="s">
        <v>136</v>
      </c>
      <c r="C27" s="13" t="s">
        <v>128</v>
      </c>
    </row>
    <row r="28" spans="1:3" x14ac:dyDescent="0.25">
      <c r="A28" s="12" t="s">
        <v>137</v>
      </c>
      <c r="B28" s="13" t="s">
        <v>138</v>
      </c>
      <c r="C28" s="13" t="s">
        <v>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selection activeCell="E12" sqref="E12"/>
    </sheetView>
  </sheetViews>
  <sheetFormatPr baseColWidth="10" defaultRowHeight="15" x14ac:dyDescent="0.25"/>
  <cols>
    <col min="1" max="1" width="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12">
        <v>10</v>
      </c>
      <c r="B2" s="13" t="s">
        <v>70</v>
      </c>
      <c r="C2" s="13" t="s">
        <v>71</v>
      </c>
    </row>
    <row r="3" spans="1:3" x14ac:dyDescent="0.25">
      <c r="A3" s="12" t="s">
        <v>72</v>
      </c>
      <c r="B3" s="13" t="s">
        <v>73</v>
      </c>
      <c r="C3" s="13" t="s">
        <v>74</v>
      </c>
    </row>
    <row r="4" spans="1:3" x14ac:dyDescent="0.25">
      <c r="A4" s="12" t="s">
        <v>75</v>
      </c>
      <c r="B4" s="13" t="s">
        <v>76</v>
      </c>
      <c r="C4" s="13" t="s">
        <v>77</v>
      </c>
    </row>
    <row r="5" spans="1:3" x14ac:dyDescent="0.25">
      <c r="A5" s="12" t="s">
        <v>78</v>
      </c>
      <c r="B5" s="13" t="s">
        <v>79</v>
      </c>
      <c r="C5" s="13" t="s">
        <v>80</v>
      </c>
    </row>
    <row r="6" spans="1:3" x14ac:dyDescent="0.25">
      <c r="A6" s="12" t="s">
        <v>81</v>
      </c>
      <c r="B6" s="13" t="s">
        <v>82</v>
      </c>
      <c r="C6" s="13" t="s">
        <v>83</v>
      </c>
    </row>
    <row r="7" spans="1:3" x14ac:dyDescent="0.25">
      <c r="A7" s="12" t="s">
        <v>84</v>
      </c>
      <c r="B7" s="13" t="s">
        <v>85</v>
      </c>
      <c r="C7" s="13" t="s">
        <v>86</v>
      </c>
    </row>
    <row r="8" spans="1:3" x14ac:dyDescent="0.25">
      <c r="A8" s="12" t="s">
        <v>87</v>
      </c>
      <c r="B8" s="13" t="s">
        <v>88</v>
      </c>
      <c r="C8" s="13" t="s">
        <v>86</v>
      </c>
    </row>
    <row r="9" spans="1:3" x14ac:dyDescent="0.25">
      <c r="A9" s="12" t="s">
        <v>89</v>
      </c>
      <c r="B9" s="13" t="s">
        <v>90</v>
      </c>
      <c r="C9" s="13" t="s">
        <v>91</v>
      </c>
    </row>
    <row r="10" spans="1:3" x14ac:dyDescent="0.25">
      <c r="A10" s="12" t="s">
        <v>92</v>
      </c>
      <c r="B10" s="13" t="s">
        <v>93</v>
      </c>
      <c r="C10" s="13" t="s">
        <v>94</v>
      </c>
    </row>
    <row r="11" spans="1:3" x14ac:dyDescent="0.25">
      <c r="A11" s="12" t="s">
        <v>95</v>
      </c>
      <c r="B11" s="13" t="s">
        <v>96</v>
      </c>
      <c r="C11" s="13" t="s">
        <v>97</v>
      </c>
    </row>
    <row r="12" spans="1:3" x14ac:dyDescent="0.25">
      <c r="A12" s="12" t="s">
        <v>98</v>
      </c>
      <c r="B12" s="13" t="s">
        <v>99</v>
      </c>
      <c r="C12" s="15" t="s">
        <v>139</v>
      </c>
    </row>
    <row r="13" spans="1:3" x14ac:dyDescent="0.25">
      <c r="A13" s="12" t="s">
        <v>101</v>
      </c>
      <c r="B13" s="13" t="s">
        <v>102</v>
      </c>
      <c r="C13" s="15" t="s">
        <v>140</v>
      </c>
    </row>
    <row r="14" spans="1:3" x14ac:dyDescent="0.25">
      <c r="A14" s="12" t="s">
        <v>103</v>
      </c>
      <c r="B14" s="13" t="s">
        <v>104</v>
      </c>
      <c r="C14" s="15" t="s">
        <v>141</v>
      </c>
    </row>
    <row r="15" spans="1:3" x14ac:dyDescent="0.25">
      <c r="A15" s="12" t="s">
        <v>105</v>
      </c>
      <c r="B15" s="13" t="s">
        <v>106</v>
      </c>
      <c r="C15" s="15" t="s">
        <v>142</v>
      </c>
    </row>
    <row r="16" spans="1:3" x14ac:dyDescent="0.25">
      <c r="A16" s="12" t="s">
        <v>107</v>
      </c>
      <c r="B16" s="13"/>
      <c r="C16" s="13" t="s">
        <v>108</v>
      </c>
    </row>
    <row r="17" spans="1:3" x14ac:dyDescent="0.25">
      <c r="A17" s="12" t="s">
        <v>109</v>
      </c>
      <c r="B17" s="13" t="s">
        <v>143</v>
      </c>
      <c r="C17" s="16" t="s">
        <v>144</v>
      </c>
    </row>
    <row r="18" spans="1:3" x14ac:dyDescent="0.25">
      <c r="A18" s="12" t="s">
        <v>111</v>
      </c>
      <c r="B18" s="13" t="s">
        <v>112</v>
      </c>
      <c r="C18" s="15" t="s">
        <v>100</v>
      </c>
    </row>
    <row r="19" spans="1:3" x14ac:dyDescent="0.25">
      <c r="A19" s="12" t="s">
        <v>113</v>
      </c>
      <c r="B19" s="13" t="s">
        <v>114</v>
      </c>
      <c r="C19" s="15" t="s">
        <v>145</v>
      </c>
    </row>
    <row r="20" spans="1:3" x14ac:dyDescent="0.25">
      <c r="A20" s="12" t="s">
        <v>115</v>
      </c>
      <c r="B20" s="13" t="s">
        <v>116</v>
      </c>
      <c r="C20" s="13" t="s">
        <v>91</v>
      </c>
    </row>
    <row r="21" spans="1:3" x14ac:dyDescent="0.25">
      <c r="A21" s="12" t="s">
        <v>117</v>
      </c>
      <c r="B21" s="13" t="s">
        <v>118</v>
      </c>
      <c r="C21" s="13" t="s">
        <v>119</v>
      </c>
    </row>
    <row r="22" spans="1:3" x14ac:dyDescent="0.25">
      <c r="A22" s="12" t="s">
        <v>120</v>
      </c>
      <c r="B22" s="13" t="s">
        <v>121</v>
      </c>
      <c r="C22" s="13" t="s">
        <v>122</v>
      </c>
    </row>
    <row r="23" spans="1:3" x14ac:dyDescent="0.25">
      <c r="A23" s="12" t="s">
        <v>123</v>
      </c>
      <c r="B23" s="13" t="s">
        <v>124</v>
      </c>
      <c r="C23" s="13" t="s">
        <v>125</v>
      </c>
    </row>
    <row r="24" spans="1:3" x14ac:dyDescent="0.25">
      <c r="A24" s="12" t="s">
        <v>126</v>
      </c>
      <c r="B24" s="13" t="s">
        <v>127</v>
      </c>
      <c r="C24" s="13" t="s">
        <v>128</v>
      </c>
    </row>
    <row r="25" spans="1:3" x14ac:dyDescent="0.25">
      <c r="A25" s="12" t="s">
        <v>129</v>
      </c>
      <c r="B25" s="13" t="s">
        <v>130</v>
      </c>
      <c r="C25" s="13" t="s">
        <v>131</v>
      </c>
    </row>
    <row r="26" spans="1:3" x14ac:dyDescent="0.25">
      <c r="A26" s="12" t="s">
        <v>132</v>
      </c>
      <c r="B26" s="13" t="s">
        <v>133</v>
      </c>
      <c r="C26" s="13" t="s">
        <v>134</v>
      </c>
    </row>
    <row r="27" spans="1:3" x14ac:dyDescent="0.25">
      <c r="A27" s="12" t="s">
        <v>135</v>
      </c>
      <c r="B27" s="13" t="s">
        <v>136</v>
      </c>
      <c r="C27" s="13" t="s">
        <v>128</v>
      </c>
    </row>
    <row r="28" spans="1:3" x14ac:dyDescent="0.25">
      <c r="A28" s="12" t="s">
        <v>137</v>
      </c>
      <c r="B28" s="13" t="s">
        <v>138</v>
      </c>
      <c r="C28" s="13" t="s">
        <v>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2026-03-27T15:28:08Z</dcterms:modified>
</cp:coreProperties>
</file>