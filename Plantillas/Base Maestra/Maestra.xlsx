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/>
  <xr:revisionPtr revIDLastSave="0" documentId="13_ncr:1_{C0D072E3-3F71-49D0-8AA9-6458F801316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Hoja1" sheetId="1" r:id="rId1"/>
    <sheet name="Hoja2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5" i="1" l="1"/>
  <c r="A366" i="1"/>
  <c r="A367" i="1"/>
  <c r="A368" i="1"/>
  <c r="A369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4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1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188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2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<sst xmlns="http://schemas.openxmlformats.org/spreadsheetml/2006/main" count="1373" uniqueCount="389">
  <si>
    <t>KeyPLU</t>
  </si>
  <si>
    <t>CLIENTE</t>
  </si>
  <si>
    <t>SoldTO</t>
  </si>
  <si>
    <t>Canal</t>
  </si>
  <si>
    <t>EAN</t>
  </si>
  <si>
    <t>GMID</t>
  </si>
  <si>
    <t>PLU</t>
  </si>
  <si>
    <t>PRODUCTO</t>
  </si>
  <si>
    <t>FARMATODO</t>
  </si>
  <si>
    <t>Retail</t>
  </si>
  <si>
    <t>BUSCAPINA 10MG GRAGEAS CAJA X20GRG. BOEHRINGER HIOSCINA N-BUTILBROMU</t>
  </si>
  <si>
    <t>Bisolvon Niños Jbe Fco. x120Ml. Boehringer Bromhexina Clorhidrato</t>
  </si>
  <si>
    <t>Buscapina 20Mg Amp. Fco. x3Amp. Boehringer N-Butil Bromuro de Hioscina</t>
  </si>
  <si>
    <t>Buscapina Compositum Nf Niños Fco x30 ml N-Butil Bromuro de Hioscina</t>
  </si>
  <si>
    <t>Gelicart Colágeno Hidrolizado Caja X30Sob.X300G.</t>
  </si>
  <si>
    <t>DULCOLAX 5MG CAJA X20 GRAGEAS BOEHRINGER BISACODILO</t>
  </si>
  <si>
    <t>Allegra 180Mg Tabletas Caja X10Tab. Sanofi Fexofenadina Clorhidrato</t>
  </si>
  <si>
    <t>Enterogermina Plus Sus Oral Caja X5Via Sanofi Esporas Bacillus Clausii</t>
  </si>
  <si>
    <t>NOVALGINA 500MG TABLETAS CAJA X50TAB. SANOFI DIPIRONA SÓDICA</t>
  </si>
  <si>
    <t>BUSCAPINA FEM COM. CAJA X6COM. BOEHRINGER HIOSCINA N-BUTILBROMURO</t>
  </si>
  <si>
    <t>BUSCAPINA COMPOSITUM NF CAJA X10 COMP</t>
  </si>
  <si>
    <t>Enterogermina Sus. Oral Caja X10Amp Sanofi Esporas De Bacillus Clausii</t>
  </si>
  <si>
    <t>Allegra D 60/25Mg Tabletas Caja X10Tab Sanofi Fexofenadina Fenilefrina</t>
  </si>
  <si>
    <t>Allegra Pediátrico 30Mg Suspensión Frasco X150Ml Sanofi Fexofenadina</t>
  </si>
  <si>
    <t>DULCOLAX 5MG GRAGEAS CAJA X10GRG. BOEHRINGER BISACODILO</t>
  </si>
  <si>
    <t>Dulcolax Gotas Frasco x15Ml. Boehringer Picosulfato Sódico</t>
  </si>
  <si>
    <t>Migrinon 300/30/30 mg Caja x 100 Tab Dipirona Isometepteno Cafeína</t>
  </si>
  <si>
    <t>Bisolvon Max Jarabe Frasco X120Ml. Boehringer Ambroxol</t>
  </si>
  <si>
    <t>Nasacort Aq 55Mcg Suspensión Nasal Frasco X120Dos Sanofi Triamcinolona</t>
  </si>
  <si>
    <t>Buscapina Compositum NF Caja X20 Comp</t>
  </si>
  <si>
    <t>Gelicart Advance Polvo X 30 sobres</t>
  </si>
  <si>
    <t>Bisolvon Tos Seca Jarabe Frasco X120Ml. Boehringer Dextrometorfano</t>
  </si>
  <si>
    <t>Allegra 120Mg Tabletas Caja X10Tab. Sanofi Fexofenadina Clorhidrato</t>
  </si>
  <si>
    <t>BUSCAMINT 181.6MG CAPSG BL12 M36</t>
  </si>
  <si>
    <t>ENTEROGERMINA 2BCFU/5ML SUSP 2BT10 CO</t>
  </si>
  <si>
    <t>COPSERVIR</t>
  </si>
  <si>
    <t>BUSCAPINA</t>
  </si>
  <si>
    <t>BUSCAPINA COMPOSITUM N F</t>
  </si>
  <si>
    <t>DULCOLAX</t>
  </si>
  <si>
    <t>NOVALGINA 5 ML</t>
  </si>
  <si>
    <t>NOVALGINA 2 ML</t>
  </si>
  <si>
    <t>BUSCAPINA X 1 ML</t>
  </si>
  <si>
    <t>ALLEGRA 120 MG</t>
  </si>
  <si>
    <t>GELICART</t>
  </si>
  <si>
    <t>NASACORT AQ</t>
  </si>
  <si>
    <t>ALLEGRA 180 MG</t>
  </si>
  <si>
    <t>ALLEGRA D 60 MG / 25 MG</t>
  </si>
  <si>
    <t>BISOLVON LINCTUS NINOS</t>
  </si>
  <si>
    <t>BUSCAPINA COMPOSITUM NF</t>
  </si>
  <si>
    <t>ENTEROGERMINA</t>
  </si>
  <si>
    <t>BUSCAPINA FEM</t>
  </si>
  <si>
    <t>DULCOLAX P 7.50 MG</t>
  </si>
  <si>
    <t>ALLEGRA PEDIATRICO</t>
  </si>
  <si>
    <t>MIGRINON</t>
  </si>
  <si>
    <t>BISOLVON TOS SECA</t>
  </si>
  <si>
    <t>BISOLVON MAX</t>
  </si>
  <si>
    <t>ENTEROGERMINA PLUS</t>
  </si>
  <si>
    <t>NOVALGINA 500 MG</t>
  </si>
  <si>
    <t>BUSCAPINA FEM DOBLE ACCION</t>
  </si>
  <si>
    <t>GELICART ADVANCE</t>
  </si>
  <si>
    <t>CAFAM</t>
  </si>
  <si>
    <t>DULCOLAX x10</t>
  </si>
  <si>
    <t>GELICART ACTION</t>
  </si>
  <si>
    <t>DULCOLAX x20</t>
  </si>
  <si>
    <t>Institucional</t>
  </si>
  <si>
    <t>BUSCAPINA COMPOSITUM NF GOTAS FRA 30ML</t>
  </si>
  <si>
    <t>BUSCAPINA COMPOSITUM CAJA X100</t>
  </si>
  <si>
    <t>Code</t>
  </si>
  <si>
    <t>Reason (shift)</t>
  </si>
  <si>
    <t>Definition</t>
  </si>
  <si>
    <t>Abnormal Orders</t>
  </si>
  <si>
    <t>Demanda anormal</t>
  </si>
  <si>
    <t>C1</t>
  </si>
  <si>
    <t>Discontinued product</t>
  </si>
  <si>
    <t>Descontinuado</t>
  </si>
  <si>
    <t>CM</t>
  </si>
  <si>
    <t>Credit issues</t>
  </si>
  <si>
    <t>Problema de Cartera</t>
  </si>
  <si>
    <t>D1</t>
  </si>
  <si>
    <t>Missing Customer License</t>
  </si>
  <si>
    <t>Falta licencia de importación Cliente</t>
  </si>
  <si>
    <t>D3</t>
  </si>
  <si>
    <t>Import/export license</t>
  </si>
  <si>
    <t>Falta licencia de exportación Opella</t>
  </si>
  <si>
    <t>M0</t>
  </si>
  <si>
    <t>Customer master data issues</t>
  </si>
  <si>
    <t>Error en el sistema de Opella</t>
  </si>
  <si>
    <t>M1</t>
  </si>
  <si>
    <t>Product master data issues</t>
  </si>
  <si>
    <t>M2</t>
  </si>
  <si>
    <t>Wrong/None price in SAP</t>
  </si>
  <si>
    <t>Diferencia de Precio</t>
  </si>
  <si>
    <t>M3</t>
  </si>
  <si>
    <t>Cancelled by Sales Rep</t>
  </si>
  <si>
    <t>Cancelado por el KAM</t>
  </si>
  <si>
    <t>M4</t>
  </si>
  <si>
    <t>Contract Issues</t>
  </si>
  <si>
    <t>Error en el contrato</t>
  </si>
  <si>
    <t>M6</t>
  </si>
  <si>
    <t>Stock in trade adjustment</t>
  </si>
  <si>
    <t>Backorder</t>
  </si>
  <si>
    <t>M7</t>
  </si>
  <si>
    <t>Vol adjust (Cust. forecast adjustment)</t>
  </si>
  <si>
    <t>Q1</t>
  </si>
  <si>
    <t>Vol adjust(Prod. Alloc -LIM exceeded)</t>
  </si>
  <si>
    <t>Q2</t>
  </si>
  <si>
    <t>Vol adjust(Prod. Alloc - Shortage)</t>
  </si>
  <si>
    <t>#</t>
  </si>
  <si>
    <t>In Full</t>
  </si>
  <si>
    <t>ZA</t>
  </si>
  <si>
    <t>Out of stock (Back Order not allowed)</t>
  </si>
  <si>
    <t>ZB</t>
  </si>
  <si>
    <t>Back order closed (cancelled after a certain period of time)</t>
  </si>
  <si>
    <t>ZC</t>
  </si>
  <si>
    <t>Back order retaken in a new purchase order</t>
  </si>
  <si>
    <t>ZE</t>
  </si>
  <si>
    <t>Price Difference Customer vs SAP</t>
  </si>
  <si>
    <t>ZJ</t>
  </si>
  <si>
    <t>No batch or incorrectly batch determined</t>
  </si>
  <si>
    <t>No cumple FV acordada</t>
  </si>
  <si>
    <t>ZQ</t>
  </si>
  <si>
    <t>Quantity does not fulfill min/max</t>
  </si>
  <si>
    <t>Fuera de Masterpack</t>
  </si>
  <si>
    <t>ZM</t>
  </si>
  <si>
    <t>Multiple rejection reasons</t>
  </si>
  <si>
    <t>*</t>
  </si>
  <si>
    <t>CU</t>
  </si>
  <si>
    <t>Customer reason</t>
  </si>
  <si>
    <t>Cancelado por el Cliente</t>
  </si>
  <si>
    <t>D4</t>
  </si>
  <si>
    <t>Customer in Sanction Party List</t>
  </si>
  <si>
    <t>Ruptura de relación comercial</t>
  </si>
  <si>
    <t>ZD</t>
  </si>
  <si>
    <t>Duplicate order</t>
  </si>
  <si>
    <t>Duplicado</t>
  </si>
  <si>
    <t>ZI</t>
  </si>
  <si>
    <t>Customer Cancellation</t>
  </si>
  <si>
    <t>ZO</t>
  </si>
  <si>
    <t>Credit card missing</t>
  </si>
  <si>
    <t>Excedido en limite de cuota</t>
  </si>
  <si>
    <t>ZS</t>
  </si>
  <si>
    <t>Substitution</t>
  </si>
  <si>
    <t>Sustituido en otro SKU</t>
  </si>
  <si>
    <t>Z2</t>
  </si>
  <si>
    <t>Stockout - To Be Analyzed</t>
  </si>
  <si>
    <t>Y1</t>
  </si>
  <si>
    <t>Unexpected Demand</t>
  </si>
  <si>
    <t>Z3</t>
  </si>
  <si>
    <t>API</t>
  </si>
  <si>
    <t>Z4</t>
  </si>
  <si>
    <t>Capacity Constraints</t>
  </si>
  <si>
    <t>Z6</t>
  </si>
  <si>
    <t>Manufacturing</t>
  </si>
  <si>
    <t>Y4</t>
  </si>
  <si>
    <t>Others</t>
  </si>
  <si>
    <t>ZV</t>
  </si>
  <si>
    <t>Validity Period</t>
  </si>
  <si>
    <t>Contrato de cliente expirado</t>
  </si>
  <si>
    <t>Y6</t>
  </si>
  <si>
    <t>Typing Error</t>
  </si>
  <si>
    <t>Error proceso de pedido</t>
  </si>
  <si>
    <t>Y2</t>
  </si>
  <si>
    <t>Financial &amp; System Issue</t>
  </si>
  <si>
    <t xml:space="preserve">Error en sistema </t>
  </si>
  <si>
    <t>Z8</t>
  </si>
  <si>
    <t>Upstream Distribution</t>
  </si>
  <si>
    <t>Z9</t>
  </si>
  <si>
    <t>Importation Issue</t>
  </si>
  <si>
    <t>ZH</t>
  </si>
  <si>
    <t>DC Change</t>
  </si>
  <si>
    <t>Z5</t>
  </si>
  <si>
    <t>Components</t>
  </si>
  <si>
    <t>Z7</t>
  </si>
  <si>
    <t>Quality</t>
  </si>
  <si>
    <t>Y3</t>
  </si>
  <si>
    <t>Regulatory Problem</t>
  </si>
  <si>
    <t>CRUZ VERDE</t>
  </si>
  <si>
    <t>ALLEGRA 120MG TAB REC  CAJ X 10</t>
  </si>
  <si>
    <t>ALLEGRA 180MG TAB REC  CAJ X 10</t>
  </si>
  <si>
    <t>ALLEGRA D (25+60)MG TAB REC  CAJ X 10</t>
  </si>
  <si>
    <t>ALLEGRA PED 30MG/5ML(0.6%) SUSP ORAL  FCO X 150ML</t>
  </si>
  <si>
    <t>BISOLVON LICTUS NINOS 4MG/5ML(0.08%) JBE  FCO X 120ML  FRESA</t>
  </si>
  <si>
    <t>BISOLVON MAX 30MG/5ML(0.6%) JBE  FCO X 120ML</t>
  </si>
  <si>
    <t>BISOLVON TS 10MG/5ML(0.2%) JBE  FCO X 120ML</t>
  </si>
  <si>
    <t>BUSCAMINT CAP BLAND CAJ X 12</t>
  </si>
  <si>
    <t>BUSCAPINA 10MG TAB REC  CAJ X 20</t>
  </si>
  <si>
    <t>BUSCAPINA 20MG/ML SOL INY  CAJ X 3AMP</t>
  </si>
  <si>
    <t>BUSCAPINA COMPUESTA NF (100+2)MG/ML(10+0.2)% SOL ORAL  FCO X 30ML</t>
  </si>
  <si>
    <t>BUSCAPINA COMPUESTA NF (325+10)MG TAB REC  CAJ X 10</t>
  </si>
  <si>
    <t>BUSCAPINA COMPUESTA NF (325+10)MG TAB REC  CAJ X 100</t>
  </si>
  <si>
    <t>BUSCAPINA COMPUESTA NF (325+10)MG TAB REC  CAJ X 20</t>
  </si>
  <si>
    <t>BUSCAPINA FEM (20+400)MG TAB REC CAJ X 6</t>
  </si>
  <si>
    <t>BUSCAPINA FEM (20+400)MG TAB REC  CAJ X 90</t>
  </si>
  <si>
    <t>DULCOLAX 5MG TAB LIB RET CAJ X 10</t>
  </si>
  <si>
    <t>DULCOLAX 5MG TAB LIB RET CAJ X 20</t>
  </si>
  <si>
    <t>DULCOLAX P 7.5MG/ML(0.75%) SOL ORAL  FCO X 15ML</t>
  </si>
  <si>
    <t>ENTEROGERMINA 2000MUI/5ML SUSP ORAL  CAJ X 10AMPACKX5ML</t>
  </si>
  <si>
    <t>ENTEROGERMINA PLUS 4000MUI/5ML SUSP ORAL  CAJ X 5FCOX5ML</t>
  </si>
  <si>
    <t>GELICART  POLV SUSP ORAL  CAJ X 30</t>
  </si>
  <si>
    <t>GELICART ADVANCE MULTIPLES COMPONENTES   CAJ X 30SOB</t>
  </si>
  <si>
    <t>MIGRINON (30+300+30)MG TAB REC CAJ X 100</t>
  </si>
  <si>
    <t>NASACORT AQ 55MCG/DOSIS SUSP NAS  SPRAY X 120DOSIS</t>
  </si>
  <si>
    <t>NOVALGINA 500MG TAB  CAJ X 50</t>
  </si>
  <si>
    <t>NOVALGINA IM-IV 1GR/2ML(0.5GR/ML) SOL INY  CAJ X 10AMP X 2ML</t>
  </si>
  <si>
    <t>NOVALGINA IM-IV 2.5GR/5ML(0.5GR/ML) SOL INY  CAJ X 5AMP X 5ML</t>
  </si>
  <si>
    <t>ALLEGRA 120MG TAB REC INST</t>
  </si>
  <si>
    <t>ALLEGRA 180MG TAB REC INST</t>
  </si>
  <si>
    <t>ALLEGRA D (25+60)MG TABLETA RECUBIERTA INST CAJ X 10</t>
  </si>
  <si>
    <t>ALLEGRA PED 30MG/5ML(0.6%) SUSP ORAL INST FCO X 150ML</t>
  </si>
  <si>
    <t>BISOLVON MAX 30MG/5ML(0.6%) JBE INST FCO X 120ML</t>
  </si>
  <si>
    <t>BISOLVON TS 10MG/5ML(0.2%) JBE INST FCO X 120ML</t>
  </si>
  <si>
    <t>BUSCAPINA 10MG TAB REC INST CAJ X 20</t>
  </si>
  <si>
    <t>BUSCAPINA 20MG/ML SOL INY INST CAJ X 3AMP</t>
  </si>
  <si>
    <t>BUSCAPINA COMP NF (325+10)MG TAB REC INST CAJ X 100</t>
  </si>
  <si>
    <t>BUSCAPINA COMPUESTA NF (100+2)MG/ML(10+0.2)% SOL ORAL INST FCO X 30ML</t>
  </si>
  <si>
    <t>BUSCAPINA FEM (20+400)MG TAB REC INST CAJ X 6</t>
  </si>
  <si>
    <t>BUSCAPINA FEM CAJA X 90</t>
  </si>
  <si>
    <t>DULCOLAX 5MG TAB LIB RET INST CAJ X 10</t>
  </si>
  <si>
    <t>DULCOLAX 5MG TAB LIB RET INST CAJ X 20</t>
  </si>
  <si>
    <t>DULCOLAX P GOTAS 7.5MG/ML(0.75%) SOL ORAL INST FCO X 15ML</t>
  </si>
  <si>
    <t>ENTEROGERMINA 2000MUI/5ML SUSP ORAL INST CAJ X 10AMPACK X 5ML</t>
  </si>
  <si>
    <t>ENTEROGERMINA PLUS 4000MUI/5ML SUSP ORAL INST CAJ X 5FCOX5ML</t>
  </si>
  <si>
    <t>MIGRINON (30+300+30)MG TAB REC INST CAJ X 100</t>
  </si>
  <si>
    <t>NASACORT AQ 55MCG/DOSIS SUSP NAS INST FCO X 120DOSIS</t>
  </si>
  <si>
    <t>NOVALGINA 1GR/2ML(0.5GR/ML) SOL INY INST CAJ X 10AMP X 2ML</t>
  </si>
  <si>
    <t>NOVALGINA 2.5GR/5ML(0.5GR/ML) SOL INY INST CAJ X 5AMP X 5ML</t>
  </si>
  <si>
    <t>NOVALGINA 500MG TAB INST CAJ X 50</t>
  </si>
  <si>
    <t>ALLEGRA 30MG SUSPENSION X 150 ML</t>
  </si>
  <si>
    <t>ALLEGRA 120 MG CJ X 10 COMP.</t>
  </si>
  <si>
    <t>ALLEGRA 180 MG CJ X 10 TAB.</t>
  </si>
  <si>
    <t>ALLEGRA D 60/25 MG CJ X 10 TAB</t>
  </si>
  <si>
    <t>INS ALLEGRA 30MG SUSPENSION X 150 ml</t>
  </si>
  <si>
    <t>INS ALLEGRA 180 MG CJ X 10 TAB</t>
  </si>
  <si>
    <t>INS ALLEGRA D 60/25 MG CJ X 10 TAB.</t>
  </si>
  <si>
    <t>BISOLVON ADULTOS JBE X 120 ML</t>
  </si>
  <si>
    <t>BISOLVON MAX TOS C/FLEMAS FCO X 120 ML</t>
  </si>
  <si>
    <t>BISOLVON NIÑOS JBE FCO X 120 ML</t>
  </si>
  <si>
    <t>BISOLVON TS JBE FCO X 120 ML</t>
  </si>
  <si>
    <t>INS BISOLVON LINCTUS ADULTOS JBE X 120ML</t>
  </si>
  <si>
    <t>INS BISOLVON LINCTUS NIÑOS JBE X 120ML</t>
  </si>
  <si>
    <t>BUSCAPINA 10 MG CJ X 20 GRAGEAS</t>
  </si>
  <si>
    <t>BUSCAPINA 20MG CJ X 3 AMP X 1 ML</t>
  </si>
  <si>
    <t>BUSCAPINA COMP 10/325 MG CJ X 10 TAB</t>
  </si>
  <si>
    <t>BUSCAPINA COMP 10/325 MG CJ X 20 TAB</t>
  </si>
  <si>
    <t>BUSCAPINA COMPOS NF SOL ORAL FCO X 30 ML</t>
  </si>
  <si>
    <t>BUSCAPINA FEM MG CJ X 6 COMP</t>
  </si>
  <si>
    <t>INS BUSCAPINA FEM 400MG/20MG CJ X 90 TAB</t>
  </si>
  <si>
    <t>DULCOLAX 5 MG CJ X 10 GRAG</t>
  </si>
  <si>
    <t>DULCOLAX 5 MG CJ X 20 GRAG</t>
  </si>
  <si>
    <t>DULCOLAX P 7.5 MG SOLUC ORAL FCO X15 ML</t>
  </si>
  <si>
    <t>INS DULCOLAX 5 MG CJ X 20 GRAG</t>
  </si>
  <si>
    <t>ENTEROGERMINA CJ X 10 AMP BEB</t>
  </si>
  <si>
    <t>ENTEROGERMINA PLUS CJ X 5 VIAL BEBIBLES</t>
  </si>
  <si>
    <t>INS ENTEROGERMINA CJ X 10 AMP BEB.</t>
  </si>
  <si>
    <t>GELICART ADVANCE HIDROLIZADO CJX 30 SBS.</t>
  </si>
  <si>
    <t>GELICART CJ X 30 SACHETS.</t>
  </si>
  <si>
    <t>MIGRINON 300/30 MG CJ X 100TAB</t>
  </si>
  <si>
    <t>NASACORT A.Q X 120 DOSIS</t>
  </si>
  <si>
    <t>NOVALGINA 500 MG CJ X 50 TAB</t>
  </si>
  <si>
    <t>INS NASACORT A.Q X 120 DOSIS.</t>
  </si>
  <si>
    <t>ETICOS</t>
  </si>
  <si>
    <t>OLIMPICA</t>
  </si>
  <si>
    <t>ALLEGRA 120 MG CAJA X 10 TABLETAS RECUBIERTA</t>
  </si>
  <si>
    <t>ALLEGRA 180 MG X 10 TABLETAS. (196451)</t>
  </si>
  <si>
    <t>ALLEGRA D 60/25 MG X 10 TABLETAS.</t>
  </si>
  <si>
    <t>ALLEGRA PEDIATRICO 30 MG/5 ML SUSP FCO X 150 ML</t>
  </si>
  <si>
    <t>BISOLVON ADULTO JARABE X 120 ML</t>
  </si>
  <si>
    <t>BISOLVON MAX JARABE FCO X 120 ML</t>
  </si>
  <si>
    <t>BISOLVON NIÑO JARABE X 120 ML.</t>
  </si>
  <si>
    <t>BISOLVON TOS SECA JARABE FCO X 120 ML</t>
  </si>
  <si>
    <t>BUSCAPINA 10 MG CAJA X 20 GRAGEAS</t>
  </si>
  <si>
    <t>BUSCAPINA COMPOSITUM NF 325/10 MG X 100 COMPRIMIDOS RECUBIERTOS</t>
  </si>
  <si>
    <t>BUSCAPINA COMPOSITUM NF 325/10 MG X 20 COMPRIMIDOS RECUBIERTOS</t>
  </si>
  <si>
    <t>BUSCAPINA COMPOSITUM NF NIÑOS GOTAS FCO X 30 ML</t>
  </si>
  <si>
    <t>BUSCAPINA FEM 20/400 MG CAJA X 6 COMPRIMIDOS RECUBIERTOS</t>
  </si>
  <si>
    <t>BUSCAPINA FEM 20/400 MG CAJA X 90 COMPRIMIDOS RECUBIERTOS</t>
  </si>
  <si>
    <t>BUSCAPINA SIMPLE X 3 AMPOLLAS.</t>
  </si>
  <si>
    <t>CALMIDOL COMPUESTO 200/30 MG CAJA X 48 CAPSULAS</t>
  </si>
  <si>
    <t>CALMIDOL MAX CAJA X 48 TABLETAS RECUBIERTAS</t>
  </si>
  <si>
    <t>DULCOLAX 5 MG CAJA X 10 GRAGEAS</t>
  </si>
  <si>
    <t>DULCOLAX 5 MG CAJA X 20 GRAGEAS</t>
  </si>
  <si>
    <t>DULCOLAX P GOTAS FCO X 15 ML</t>
  </si>
  <si>
    <t>ENTEROGERMINA AMPOLLAS BEBIBLE X 10 UI.</t>
  </si>
  <si>
    <t>ENTEROGERMINA PLUS 4000 MILL AMPOLLAS BEBIBLE X 5 FCOS DE 5 ML (193447)</t>
  </si>
  <si>
    <t>GELICART ADVANCE 25/75% CAJA X 30 SOBRES DE 20 GR S/DIETARIO</t>
  </si>
  <si>
    <t>GELICART CAJA X 30 SOBRES DE 10 GR S/DIETARIO</t>
  </si>
  <si>
    <t>MIGRINON 300/30/30 MG DISPLAY X 20 CAJAS DE 5 TABLETAS RECUBIERTAS</t>
  </si>
  <si>
    <t>NASACORT AQ 55 MCG SPRAY NASAL X 120 APLIC</t>
  </si>
  <si>
    <t>NOVALGINA 500 MG CAJA X 50 TABLETAS (196583)</t>
  </si>
  <si>
    <t>NOVALGINA 500 MG/ML GOTAS X 10 ML (196407)</t>
  </si>
  <si>
    <t>NOVALGINA X  5 AMPOLLA DE 5 ML</t>
  </si>
  <si>
    <t>NOVALGINA X 10 AMPOLLA DE 2 ML</t>
  </si>
  <si>
    <t>AXA</t>
  </si>
  <si>
    <t>BUSCAPINA FEM 20+400 MG CAJA 6 TABLETAS RECUBIERTAS</t>
  </si>
  <si>
    <t xml:space="preserve">COOPIDROGAS </t>
  </si>
  <si>
    <t>BUSCAPINA FEM 20+400MG X 6 COMP REC</t>
  </si>
  <si>
    <t>ALLEGRA 120 MG CAJA X 10 TAB BR</t>
  </si>
  <si>
    <t>ALLEGRA 180MG 1X10 CPR EXP</t>
  </si>
  <si>
    <t>NASACORT AQ 16.5 MG SOL NASAL X 1 FCO GB</t>
  </si>
  <si>
    <t>NOVALGINA 2.5g INY AMP 5mlX5 IMP BR</t>
  </si>
  <si>
    <t>BISOLVON ADULTOS JBE 8MG/5ML X 120ML</t>
  </si>
  <si>
    <t>BISOLVON PED JBE 4MG/5ML X 120ML</t>
  </si>
  <si>
    <t>BUSCAPINA SOL INY 20MG/ML X 3 AMP</t>
  </si>
  <si>
    <t>BUSCAPINA COMP NF GTS 2+100MG/ML X 30 ML</t>
  </si>
  <si>
    <t>BUSCAPINA 10MG X 20 GRG</t>
  </si>
  <si>
    <t>DULCOLAX 5MG TABSC BL10 M36 CO</t>
  </si>
  <si>
    <t>ENTEROGERMINA CAJA X 10 AMP BEB IT</t>
  </si>
  <si>
    <t>DULCOLAX 112.5MG/+ DROP BT1 M24 CO</t>
  </si>
  <si>
    <t>BUSCAPINA FEM 20+400MG X 90 COMP REC</t>
  </si>
  <si>
    <t>DULCOLAX 5MG TABSC BL20 M36 CO</t>
  </si>
  <si>
    <t>ALLEGRA SUS 900mg X 150 mL BR OTC</t>
  </si>
  <si>
    <t>ALLEGRA D 60mg CAJA X 10 TAB MX</t>
  </si>
  <si>
    <t>GELICART 10G POWD SK30 XB</t>
  </si>
  <si>
    <t>BISOLVON MAX JBE 30MG/5ML X 120ML</t>
  </si>
  <si>
    <t>BISOLVON TS JBE 10MG/5ML X 120ML</t>
  </si>
  <si>
    <t>ENTEROGERMINA 4BCFU/5ML SUSP 5 BOT IT</t>
  </si>
  <si>
    <t>NOVALGINA 500mg CAJA X 50 TAB MX</t>
  </si>
  <si>
    <t>BUSCAPINA COMP 10-325MG TABCO BL10X10 CO</t>
  </si>
  <si>
    <t>BUSCAPINA COMPO 10-325MG TABCO BL2X10 CO</t>
  </si>
  <si>
    <t>BUSCAPINA COMPOSI 10-325MG TABCO BL10 CO</t>
  </si>
  <si>
    <t>GELICART ACTION 20G POWD SC30 M24 XB</t>
  </si>
  <si>
    <t>ALLEGRA 120MG TAB BL2 M36 CO (X5 UNID)</t>
  </si>
  <si>
    <t>BUSCAMINT 181.6MG CAPSG BL12 M36 XL</t>
  </si>
  <si>
    <t>NOVALGINA 1g INY AMP 2mlX10 IMP BR</t>
  </si>
  <si>
    <t>PASTEUR</t>
  </si>
  <si>
    <t xml:space="preserve">	041001</t>
  </si>
  <si>
    <t xml:space="preserve">	041051</t>
  </si>
  <si>
    <t xml:space="preserve">	041052</t>
  </si>
  <si>
    <t xml:space="preserve">	041062</t>
  </si>
  <si>
    <t xml:space="preserve">	041064</t>
  </si>
  <si>
    <t xml:space="preserve">	041065</t>
  </si>
  <si>
    <t xml:space="preserve">	041067</t>
  </si>
  <si>
    <t xml:space="preserve">	041070</t>
  </si>
  <si>
    <t xml:space="preserve">	041072</t>
  </si>
  <si>
    <t xml:space="preserve">	041142</t>
  </si>
  <si>
    <t xml:space="preserve">	041143</t>
  </si>
  <si>
    <t xml:space="preserve">	041145</t>
  </si>
  <si>
    <t xml:space="preserve">	1275000</t>
  </si>
  <si>
    <t xml:space="preserve">	1275002</t>
  </si>
  <si>
    <t>ALLEGRA 120 MG CAJA X 2 (New Size)</t>
  </si>
  <si>
    <t xml:space="preserve">	137001</t>
  </si>
  <si>
    <t xml:space="preserve">	137002</t>
  </si>
  <si>
    <t xml:space="preserve">	137003</t>
  </si>
  <si>
    <t xml:space="preserve">	137006</t>
  </si>
  <si>
    <t xml:space="preserve">	137087</t>
  </si>
  <si>
    <t xml:space="preserve">	137088</t>
  </si>
  <si>
    <t xml:space="preserve">	137175</t>
  </si>
  <si>
    <t xml:space="preserve">	137207</t>
  </si>
  <si>
    <t xml:space="preserve">	137350</t>
  </si>
  <si>
    <t xml:space="preserve">	137537</t>
  </si>
  <si>
    <t xml:space="preserve">	253024</t>
  </si>
  <si>
    <t xml:space="preserve">	377184</t>
  </si>
  <si>
    <t xml:space="preserve">	377434</t>
  </si>
  <si>
    <t>BUSCAPINA COMP 4/500MG/ML X 5ML X 3 AMP</t>
  </si>
  <si>
    <t>ALLEGRA 120 MG CAJA 10 COMPRIMIDOS</t>
  </si>
  <si>
    <t>ALLEGRA 120 MG CAJA 2 TABLETAS.</t>
  </si>
  <si>
    <t>ALLEGRA 180 MG CAJA 10 COMPRIMIDOS</t>
  </si>
  <si>
    <t>ALLEGRA D 60 MG/25 MG CAJA 10 TABLETAS</t>
  </si>
  <si>
    <t>ALLEGRA PEDIATRICO 30 MG FRASCO 150 ML JARABE</t>
  </si>
  <si>
    <t>BISOLVON MAX 30 MG/5ML FRASCO 120 ML JARABE</t>
  </si>
  <si>
    <t>BISOLVON PEDIATRICO 4 MG/5ML FRASCO 120 ML JARABE</t>
  </si>
  <si>
    <t>BISOLVON TOS 10 MG/5ML FRASCO 120 ML JARABE</t>
  </si>
  <si>
    <t>BUSCAMINT CAJA 12 CAPS BLANDAS</t>
  </si>
  <si>
    <t>BUSCAPINA 10 MG CAJA 20 GRAGEAS</t>
  </si>
  <si>
    <t>BUSCAPINA COMPUESTA 10/325 ML CAJA 10 TABLETAS</t>
  </si>
  <si>
    <t>BUSCAPINA COMPUESTA 10/325 ML CAJA 100 TABLETAS</t>
  </si>
  <si>
    <t>BUSCAPINA COMPUESTA 10/325 ML CAJA 20 TABLETAS</t>
  </si>
  <si>
    <t>BUSCAPINA COMPUESTA 10/325MG CAJA 30 TABLETAS RECUBIERTAS</t>
  </si>
  <si>
    <t>BUSCAPINA COMPUESTA NF 2+100 MG/ML FRASCO 30 ML GOTAS</t>
  </si>
  <si>
    <t>BUSCAPINA FEM 20+400 MG CAJA 24 TABLETAS RECUBIERTAS</t>
  </si>
  <si>
    <t>BUSCAPINA FEM 20+400 MG CAJA 90 TABLETAS RECUBIERTAS</t>
  </si>
  <si>
    <t>BUSCAPINA SOLUCION INYECTABLE 20 MG/ML CAJA 3 AMPOLLA</t>
  </si>
  <si>
    <t>DULCOLAX 5 MG CAJA 10 GRAGEAS</t>
  </si>
  <si>
    <t>DULCOLAX 5 MG CAJA 20 GRAGEAS</t>
  </si>
  <si>
    <t>DULCOLAX 7.5 MG/ML FRASCO 15 ML GOTAS</t>
  </si>
  <si>
    <t>ENTEROGERMINA BEBIBLES CAJA 10 AMPOLLA</t>
  </si>
  <si>
    <t>ENTEROGERMINA PLUS VIAL 5 ML CAJA 5 VIALES</t>
  </si>
  <si>
    <t>GELICART ADVANCE POLVO CAJA 30 SOBRES 10 GR</t>
  </si>
  <si>
    <t>GELICART POLVO CAJA 30 SOBRES 10 GR</t>
  </si>
  <si>
    <t>NASACORT AQ INHALADOR NASAL 55MCG FRASCO 120 DOSIS</t>
  </si>
  <si>
    <t>NOVALGINA 2 ML CAJA 10 AMPOLLAS</t>
  </si>
  <si>
    <t>NOVALGINA 2.5 G/5 ML CAJA 5 AMPOLLAS</t>
  </si>
  <si>
    <t>NOVALGINA 500 MG CAJA 50 TABLETAS</t>
  </si>
  <si>
    <t>BUSCAPINA COMPUESTA 500 MG/5 ML CAJA 3 AMPOLLA</t>
  </si>
  <si>
    <t>UNIDROGAS</t>
  </si>
  <si>
    <t xml:space="preserve">	041005</t>
  </si>
  <si>
    <t xml:space="preserve">	041069</t>
  </si>
  <si>
    <t>ode</t>
  </si>
  <si>
    <t>Error en sistema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</si>
</sst>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DEDED"/>
        <bgColor indexed="64"/>
      </patternFill>
    </fill>
  </fills>
  <borders count="11">
    <border>
      <left/>
      <right/>
      <top/>
      <bottom/>
      <diagonal/>
    </border>
    <border>
      <left style="hair">
        <color theme="2"/>
      </left>
      <right style="hair">
        <color theme="2"/>
      </right>
      <top style="hair">
        <color theme="2"/>
      </top>
      <bottom style="hair">
        <color theme="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1" fontId="0" fillId="0" borderId="0" xfId="0" applyNumberFormat="1" applyAlignment="1">
      <alignment horizontal="left" vertical="top"/>
    </xf>
    <xf numFmtId="1" fontId="0" fillId="0" borderId="2" xfId="0" applyNumberFormat="1" applyBorder="1" applyAlignment="1">
      <alignment horizontal="left"/>
    </xf>
    <xf numFmtId="0" fontId="0" fillId="0" borderId="2" xfId="0" applyBorder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3" xfId="0" applyFont="1" applyBorder="1" applyAlignment="1">
      <alignment horizontal="center"/>
    </xf>
    <xf numFmtId="0" fontId="5" fillId="0" borderId="4" xfId="0" applyFont="1" applyBorder="1"/>
    <xf numFmtId="0" fontId="5" fillId="0" borderId="5" xfId="0" applyFont="1" applyBorder="1" applyAlignment="1">
      <alignment horizontal="center"/>
    </xf>
    <xf numFmtId="0" fontId="5" fillId="0" borderId="6" xfId="0" applyFont="1" applyBorder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/>
    </xf>
    <xf numFmtId="1" fontId="0" fillId="0" borderId="7" xfId="0" applyNumberFormat="1" applyBorder="1" applyAlignment="1">
      <alignment horizontal="center" vertical="center"/>
    </xf>
    <xf numFmtId="0" fontId="0" fillId="0" borderId="0" xfId="0" applyAlignment="1">
      <alignment horizontal="center" vertical="top"/>
    </xf>
    <xf numFmtId="1" fontId="2" fillId="0" borderId="8" xfId="0" applyNumberFormat="1" applyFont="1" applyBorder="1" applyAlignment="1">
      <alignment horizontal="center"/>
    </xf>
    <xf numFmtId="1" fontId="2" fillId="0" borderId="9" xfId="0" applyNumberFormat="1" applyFon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estra" displayName="Maestra" ref="A1:H369" totalsRowShown="0" headerRowDxfId="19" dataDxfId="18">
  <autoFilter ref="A1:H369" xr:uid="{00000000-000C-0000-FFFF-FFFF00000000}"/>
  <tableColumns count="8">
    <tableColumn id="4" xr3:uid="{00000000-0010-0000-0000-000004000000}" name="KeyPLU" dataDxfId="17">
      <calculatedColumnFormula>+Maestra[[#This Row],[SoldTO]]&amp;Maestra[[#This Row],[EAN]]&amp;Maestra[[#This Row],[Canal]]</calculatedColumnFormula>
    </tableColumn>
    <tableColumn id="8" xr3:uid="{00000000-0010-0000-0000-000008000000}" name="CLIENTE" dataDxfId="16"/>
    <tableColumn id="7" xr3:uid="{00000000-0010-0000-0000-000007000000}" name="SoldTO" dataDxfId="15"/>
    <tableColumn id="9" xr3:uid="{00000000-0010-0000-0000-000009000000}" name="Canal" dataDxfId="14"/>
    <tableColumn id="6" xr3:uid="{00000000-0010-0000-0000-000006000000}" name="EAN" dataDxfId="13"/>
    <tableColumn id="3" xr3:uid="{00000000-0010-0000-0000-000003000000}" name="GMID" dataDxfId="12"/>
    <tableColumn id="5" xr3:uid="{00000000-0010-0000-0000-000005000000}" name="PLU" dataDxfId="11"/>
    <tableColumn id="1" xr3:uid="{00000000-0010-0000-0000-000001000000}" name="PRODUCTO" dataDxfId="10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4B2477-E8F3-4E66-8E12-8ED97703DC93}" name="MR_8" displayName="MR_8" ref="A1:C44" totalsRowShown="0" headerRowDxfId="9" dataDxfId="8">
  <autoFilter ref="A1:C44" xr:uid="{C34B2477-E8F3-4E66-8E12-8ED97703DC93}"/>
  <tableColumns count="3">
    <tableColumn id="1" xr3:uid="{9E916551-61FD-448A-B81B-5ADC55507D88}" name="Code" dataDxfId="7"/>
    <tableColumn id="2" xr3:uid="{9566008B-5A00-4796-9B0E-602672187BF5}" name="Reason (shift)" dataDxfId="6"/>
    <tableColumn id="3" xr3:uid="{85494BE8-8F70-4A24-AB4B-AE2EEF433E3E}" name="Definition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C283A7A-442C-43A3-984C-CEFD22907B9A}" name="MR_7" displayName="MR_7" ref="A1:C44" totalsRowShown="0" headerRowDxfId="4" dataDxfId="3">
  <autoFilter ref="A1:C44" xr:uid="{6C283A7A-442C-43A3-984C-CEFD22907B9A}"/>
  <tableColumns count="3">
    <tableColumn id="1" xr3:uid="{E2C9FFF9-ECC7-427D-8735-33E33790C3E9}" name="ode" dataDxfId="2"/>
    <tableColumn id="2" xr3:uid="{83957DAE-DC52-4558-9499-0075AFBDD203}" name="Reason (shift)" dataDxfId="1"/>
    <tableColumn id="3" xr3:uid="{8C5DC287-A9AC-47B8-B209-A750C1A41565}" name="Definition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9"/>
  <sheetViews>
    <sheetView topLeftCell="A13" workbookViewId="0">
      <selection activeCell="A2" sqref="A2:H369"/>
    </sheetView>
  </sheetViews>
  <sheetFormatPr baseColWidth="10" defaultColWidth="9.140625" defaultRowHeight="15" x14ac:dyDescent="0.25"/>
  <cols>
    <col min="1" max="1" width="34.5703125" bestFit="1" customWidth="1"/>
    <col min="2" max="2" width="12.5703125" bestFit="1" customWidth="1"/>
    <col min="3" max="3" width="10" bestFit="1" customWidth="1"/>
    <col min="4" max="4" width="12" bestFit="1" customWidth="1"/>
    <col min="5" max="5" width="18.5703125" customWidth="1"/>
    <col min="6" max="6" width="8.42578125" bestFit="1" customWidth="1"/>
    <col min="7" max="7" width="10" bestFit="1" customWidth="1"/>
    <col min="8" max="8" width="7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s="3" t="str">
        <f>+Maestra[[#This Row],[SoldTO]]&amp;Maestra[[#This Row],[EAN]]&amp;Maestra[[#This Row],[Canal]]</f>
        <v>1001786637703202221244Retail</v>
      </c>
      <c r="B2" s="3" t="s">
        <v>8</v>
      </c>
      <c r="C2" s="4">
        <v>100178663</v>
      </c>
      <c r="D2" s="4" t="s">
        <v>9</v>
      </c>
      <c r="E2" s="3">
        <v>7703202221244</v>
      </c>
      <c r="F2" s="5">
        <v>782065</v>
      </c>
      <c r="G2" s="5">
        <v>101001237</v>
      </c>
      <c r="H2" s="5" t="s">
        <v>10</v>
      </c>
    </row>
    <row r="3" spans="1:8" x14ac:dyDescent="0.25">
      <c r="A3" s="3" t="str">
        <f>+Maestra[[#This Row],[SoldTO]]&amp;Maestra[[#This Row],[EAN]]&amp;Maestra[[#This Row],[Canal]]</f>
        <v>1001786637703202221220Retail</v>
      </c>
      <c r="B3" s="3" t="s">
        <v>8</v>
      </c>
      <c r="C3" s="4">
        <v>100178663</v>
      </c>
      <c r="D3" s="4" t="s">
        <v>9</v>
      </c>
      <c r="E3" s="3">
        <v>7703202221220</v>
      </c>
      <c r="F3" s="5">
        <v>781955</v>
      </c>
      <c r="G3" s="5">
        <v>101003692</v>
      </c>
      <c r="H3" s="5" t="s">
        <v>11</v>
      </c>
    </row>
    <row r="4" spans="1:8" x14ac:dyDescent="0.25">
      <c r="A4" s="3" t="str">
        <f>+Maestra[[#This Row],[SoldTO]]&amp;Maestra[[#This Row],[EAN]]&amp;Maestra[[#This Row],[Canal]]</f>
        <v>1001786637703202221091Retail</v>
      </c>
      <c r="B4" s="3" t="s">
        <v>8</v>
      </c>
      <c r="C4" s="4">
        <v>100178663</v>
      </c>
      <c r="D4" s="4" t="s">
        <v>9</v>
      </c>
      <c r="E4" s="3">
        <v>7703202221091</v>
      </c>
      <c r="F4" s="6">
        <v>797130</v>
      </c>
      <c r="G4" s="5">
        <v>101001238</v>
      </c>
      <c r="H4" s="5" t="s">
        <v>12</v>
      </c>
    </row>
    <row r="5" spans="1:8" x14ac:dyDescent="0.25">
      <c r="A5" s="3" t="str">
        <f>+Maestra[[#This Row],[SoldTO]]&amp;Maestra[[#This Row],[EAN]]&amp;Maestra[[#This Row],[Canal]]</f>
        <v>1001786637703202221305Retail</v>
      </c>
      <c r="B5" s="3" t="s">
        <v>8</v>
      </c>
      <c r="C5" s="4">
        <v>100178663</v>
      </c>
      <c r="D5" s="4" t="s">
        <v>9</v>
      </c>
      <c r="E5" s="3">
        <v>7703202221305</v>
      </c>
      <c r="F5" s="5">
        <v>782086</v>
      </c>
      <c r="G5" s="5">
        <v>101000230</v>
      </c>
      <c r="H5" s="5" t="s">
        <v>13</v>
      </c>
    </row>
    <row r="6" spans="1:8" x14ac:dyDescent="0.25">
      <c r="A6" s="3" t="str">
        <f>+Maestra[[#This Row],[SoldTO]]&amp;Maestra[[#This Row],[EAN]]&amp;Maestra[[#This Row],[Canal]]</f>
        <v>1001786637501165007956Retail</v>
      </c>
      <c r="B6" s="3" t="s">
        <v>8</v>
      </c>
      <c r="C6" s="4">
        <v>100178663</v>
      </c>
      <c r="D6" s="4" t="s">
        <v>9</v>
      </c>
      <c r="E6" s="3">
        <v>7501165007956</v>
      </c>
      <c r="F6" s="5">
        <v>655678</v>
      </c>
      <c r="G6" s="5">
        <v>101045579</v>
      </c>
      <c r="H6" s="5" t="s">
        <v>14</v>
      </c>
    </row>
    <row r="7" spans="1:8" x14ac:dyDescent="0.25">
      <c r="A7" s="3" t="str">
        <f>+Maestra[[#This Row],[SoldTO]]&amp;Maestra[[#This Row],[EAN]]&amp;Maestra[[#This Row],[Canal]]</f>
        <v>1001786637703202221152Retail</v>
      </c>
      <c r="B7" s="3" t="s">
        <v>8</v>
      </c>
      <c r="C7" s="4">
        <v>100178663</v>
      </c>
      <c r="D7" s="4" t="s">
        <v>9</v>
      </c>
      <c r="E7" s="3">
        <v>7703202221152</v>
      </c>
      <c r="F7" s="5">
        <v>715506</v>
      </c>
      <c r="G7" s="5">
        <v>101029133</v>
      </c>
      <c r="H7" s="5" t="s">
        <v>15</v>
      </c>
    </row>
    <row r="8" spans="1:8" x14ac:dyDescent="0.25">
      <c r="A8" s="3" t="str">
        <f>+Maestra[[#This Row],[SoldTO]]&amp;Maestra[[#This Row],[EAN]]&amp;Maestra[[#This Row],[Canal]]</f>
        <v>1001786637591044009010Retail</v>
      </c>
      <c r="B8" s="3" t="s">
        <v>8</v>
      </c>
      <c r="C8" s="4">
        <v>100178663</v>
      </c>
      <c r="D8" s="4" t="s">
        <v>9</v>
      </c>
      <c r="E8" s="3">
        <v>7591044009010</v>
      </c>
      <c r="F8" s="5">
        <v>732308</v>
      </c>
      <c r="G8" s="5">
        <v>101002374</v>
      </c>
      <c r="H8" s="5" t="s">
        <v>16</v>
      </c>
    </row>
    <row r="9" spans="1:8" x14ac:dyDescent="0.25">
      <c r="A9" s="3" t="str">
        <f>+Maestra[[#This Row],[SoldTO]]&amp;Maestra[[#This Row],[EAN]]&amp;Maestra[[#This Row],[Canal]]</f>
        <v>1001786637702771001561Retail</v>
      </c>
      <c r="B9" s="3" t="s">
        <v>8</v>
      </c>
      <c r="C9" s="4">
        <v>100178663</v>
      </c>
      <c r="D9" s="4" t="s">
        <v>9</v>
      </c>
      <c r="E9" s="3">
        <v>7702771001561</v>
      </c>
      <c r="F9" s="6">
        <v>873239</v>
      </c>
      <c r="G9" s="5">
        <v>101050624</v>
      </c>
      <c r="H9" s="5" t="s">
        <v>17</v>
      </c>
    </row>
    <row r="10" spans="1:8" x14ac:dyDescent="0.25">
      <c r="A10" s="3" t="str">
        <f>+Maestra[[#This Row],[SoldTO]]&amp;Maestra[[#This Row],[EAN]]&amp;Maestra[[#This Row],[Canal]]</f>
        <v>1001786637501165010444Retail</v>
      </c>
      <c r="B10" s="3" t="s">
        <v>8</v>
      </c>
      <c r="C10" s="4">
        <v>100178663</v>
      </c>
      <c r="D10" s="4" t="s">
        <v>9</v>
      </c>
      <c r="E10" s="3">
        <v>7501165010444</v>
      </c>
      <c r="F10" s="5">
        <v>600723</v>
      </c>
      <c r="G10" s="5">
        <v>101054403</v>
      </c>
      <c r="H10" s="5" t="s">
        <v>18</v>
      </c>
    </row>
    <row r="11" spans="1:8" x14ac:dyDescent="0.25">
      <c r="A11" s="3" t="str">
        <f>+Maestra[[#This Row],[SoldTO]]&amp;Maestra[[#This Row],[EAN]]&amp;Maestra[[#This Row],[Canal]]</f>
        <v>1001786637703202221275Retail</v>
      </c>
      <c r="B11" s="3" t="s">
        <v>8</v>
      </c>
      <c r="C11" s="4">
        <v>100178663</v>
      </c>
      <c r="D11" s="4" t="s">
        <v>9</v>
      </c>
      <c r="E11" s="3">
        <v>7703202221275</v>
      </c>
      <c r="F11" s="5">
        <v>782074</v>
      </c>
      <c r="G11" s="5">
        <v>101021452</v>
      </c>
      <c r="H11" s="5" t="s">
        <v>19</v>
      </c>
    </row>
    <row r="12" spans="1:8" x14ac:dyDescent="0.25">
      <c r="A12" s="3" t="str">
        <f>+Maestra[[#This Row],[SoldTO]]&amp;Maestra[[#This Row],[EAN]]&amp;Maestra[[#This Row],[Canal]]</f>
        <v>1001786637703202221336Retail</v>
      </c>
      <c r="B12" s="3" t="s">
        <v>8</v>
      </c>
      <c r="C12" s="4">
        <v>100178663</v>
      </c>
      <c r="D12" s="4" t="s">
        <v>9</v>
      </c>
      <c r="E12" s="3">
        <v>7703202221336</v>
      </c>
      <c r="F12" s="5">
        <v>782093</v>
      </c>
      <c r="G12" s="5">
        <v>101060964</v>
      </c>
      <c r="H12" s="5" t="s">
        <v>20</v>
      </c>
    </row>
    <row r="13" spans="1:8" x14ac:dyDescent="0.25">
      <c r="A13" s="3" t="str">
        <f>+Maestra[[#This Row],[SoldTO]]&amp;Maestra[[#This Row],[EAN]]&amp;Maestra[[#This Row],[Canal]]</f>
        <v>1001786633582910009900Retail</v>
      </c>
      <c r="B13" s="3" t="s">
        <v>8</v>
      </c>
      <c r="C13" s="4">
        <v>100178663</v>
      </c>
      <c r="D13" s="4" t="s">
        <v>9</v>
      </c>
      <c r="E13" s="3">
        <v>3582910009900</v>
      </c>
      <c r="F13" s="5">
        <v>873229</v>
      </c>
      <c r="G13" s="5">
        <v>101021284</v>
      </c>
      <c r="H13" s="5" t="s">
        <v>21</v>
      </c>
    </row>
    <row r="14" spans="1:8" x14ac:dyDescent="0.25">
      <c r="A14" s="3" t="str">
        <f>+Maestra[[#This Row],[SoldTO]]&amp;Maestra[[#This Row],[EAN]]&amp;Maestra[[#This Row],[Canal]]</f>
        <v>1001786637703202010329Retail</v>
      </c>
      <c r="B14" s="3" t="s">
        <v>8</v>
      </c>
      <c r="C14" s="4">
        <v>100178663</v>
      </c>
      <c r="D14" s="4" t="s">
        <v>9</v>
      </c>
      <c r="E14" s="3">
        <v>7703202010329</v>
      </c>
      <c r="F14" s="5">
        <v>341667</v>
      </c>
      <c r="G14" s="5">
        <v>101002375</v>
      </c>
      <c r="H14" s="5" t="s">
        <v>22</v>
      </c>
    </row>
    <row r="15" spans="1:8" x14ac:dyDescent="0.25">
      <c r="A15" s="3" t="str">
        <f>+Maestra[[#This Row],[SoldTO]]&amp;Maestra[[#This Row],[EAN]]&amp;Maestra[[#This Row],[Canal]]</f>
        <v>1001786637795312100090Retail</v>
      </c>
      <c r="B15" s="3" t="s">
        <v>8</v>
      </c>
      <c r="C15" s="4">
        <v>100178663</v>
      </c>
      <c r="D15" s="4" t="s">
        <v>9</v>
      </c>
      <c r="E15" s="3">
        <v>7795312100090</v>
      </c>
      <c r="F15" s="5">
        <v>785678</v>
      </c>
      <c r="G15" s="5">
        <v>101032440</v>
      </c>
      <c r="H15" s="5" t="s">
        <v>23</v>
      </c>
    </row>
    <row r="16" spans="1:8" x14ac:dyDescent="0.25">
      <c r="A16" s="3" t="str">
        <f>+Maestra[[#This Row],[SoldTO]]&amp;Maestra[[#This Row],[EAN]]&amp;Maestra[[#This Row],[Canal]]</f>
        <v>1001786637703202221169Retail</v>
      </c>
      <c r="B16" s="3" t="s">
        <v>8</v>
      </c>
      <c r="C16" s="4">
        <v>100178663</v>
      </c>
      <c r="D16" s="4" t="s">
        <v>9</v>
      </c>
      <c r="E16" s="3">
        <v>7703202221169</v>
      </c>
      <c r="F16" s="5">
        <v>715503</v>
      </c>
      <c r="G16" s="5">
        <v>101003509</v>
      </c>
      <c r="H16" s="5" t="s">
        <v>24</v>
      </c>
    </row>
    <row r="17" spans="1:8" x14ac:dyDescent="0.25">
      <c r="A17" s="3" t="str">
        <f>+Maestra[[#This Row],[SoldTO]]&amp;Maestra[[#This Row],[EAN]]&amp;Maestra[[#This Row],[Canal]]</f>
        <v>1001786637703202221176Retail</v>
      </c>
      <c r="B17" s="3" t="s">
        <v>8</v>
      </c>
      <c r="C17" s="4">
        <v>100178663</v>
      </c>
      <c r="D17" s="4" t="s">
        <v>9</v>
      </c>
      <c r="E17" s="3">
        <v>7703202221176</v>
      </c>
      <c r="F17" s="5">
        <v>715717</v>
      </c>
      <c r="G17" s="5">
        <v>101024888</v>
      </c>
      <c r="H17" s="5" t="s">
        <v>25</v>
      </c>
    </row>
    <row r="18" spans="1:8" x14ac:dyDescent="0.25">
      <c r="A18" s="3" t="str">
        <f>+Maestra[[#This Row],[SoldTO]]&amp;Maestra[[#This Row],[EAN]]&amp;Maestra[[#This Row],[Canal]]</f>
        <v>1001786637703381002146Retail</v>
      </c>
      <c r="B18" s="3" t="s">
        <v>8</v>
      </c>
      <c r="C18" s="4">
        <v>100178663</v>
      </c>
      <c r="D18" s="4" t="s">
        <v>9</v>
      </c>
      <c r="E18" s="3">
        <v>7703381002146</v>
      </c>
      <c r="F18" s="5">
        <v>715717</v>
      </c>
      <c r="G18" s="5">
        <v>101024888</v>
      </c>
      <c r="H18" s="5" t="s">
        <v>25</v>
      </c>
    </row>
    <row r="19" spans="1:8" x14ac:dyDescent="0.25">
      <c r="A19" s="3" t="str">
        <f>+Maestra[[#This Row],[SoldTO]]&amp;Maestra[[#This Row],[EAN]]&amp;Maestra[[#This Row],[Canal]]</f>
        <v>1001786637703202221800Retail</v>
      </c>
      <c r="B19" s="3" t="s">
        <v>8</v>
      </c>
      <c r="C19" s="4">
        <v>100178663</v>
      </c>
      <c r="D19" s="4" t="s">
        <v>9</v>
      </c>
      <c r="E19" s="3">
        <v>7703202221800</v>
      </c>
      <c r="F19" s="5">
        <v>893499</v>
      </c>
      <c r="G19" s="5">
        <v>101034420</v>
      </c>
      <c r="H19" s="5" t="s">
        <v>26</v>
      </c>
    </row>
    <row r="20" spans="1:8" x14ac:dyDescent="0.25">
      <c r="A20" s="3" t="str">
        <f>+Maestra[[#This Row],[SoldTO]]&amp;Maestra[[#This Row],[EAN]]&amp;Maestra[[#This Row],[Canal]]</f>
        <v>1001786637703202221428Retail</v>
      </c>
      <c r="B20" s="3" t="s">
        <v>8</v>
      </c>
      <c r="C20" s="4">
        <v>100178663</v>
      </c>
      <c r="D20" s="4" t="s">
        <v>9</v>
      </c>
      <c r="E20" s="3">
        <v>7703202221428</v>
      </c>
      <c r="F20" s="5">
        <v>782090</v>
      </c>
      <c r="G20" s="5">
        <v>101048039</v>
      </c>
      <c r="H20" s="5" t="s">
        <v>27</v>
      </c>
    </row>
    <row r="21" spans="1:8" x14ac:dyDescent="0.25">
      <c r="A21" s="3" t="str">
        <f>+Maestra[[#This Row],[SoldTO]]&amp;Maestra[[#This Row],[EAN]]&amp;Maestra[[#This Row],[Canal]]</f>
        <v>1001786637591044401036Retail</v>
      </c>
      <c r="B21" s="3" t="s">
        <v>8</v>
      </c>
      <c r="C21" s="4">
        <v>100178663</v>
      </c>
      <c r="D21" s="4" t="s">
        <v>9</v>
      </c>
      <c r="E21" s="3">
        <v>7591044401036</v>
      </c>
      <c r="F21" s="5">
        <v>723871</v>
      </c>
      <c r="G21" s="5">
        <v>101000766</v>
      </c>
      <c r="H21" s="5" t="s">
        <v>28</v>
      </c>
    </row>
    <row r="22" spans="1:8" x14ac:dyDescent="0.25">
      <c r="A22" s="3" t="str">
        <f>+Maestra[[#This Row],[SoldTO]]&amp;Maestra[[#This Row],[EAN]]&amp;Maestra[[#This Row],[Canal]]</f>
        <v>1001786637703202221329Retail</v>
      </c>
      <c r="B22" s="3" t="s">
        <v>8</v>
      </c>
      <c r="C22" s="4">
        <v>100178663</v>
      </c>
      <c r="D22" s="4" t="s">
        <v>9</v>
      </c>
      <c r="E22" s="3">
        <v>7703202221329</v>
      </c>
      <c r="F22" s="5">
        <v>782092</v>
      </c>
      <c r="G22" s="5">
        <v>101060965</v>
      </c>
      <c r="H22" s="5" t="s">
        <v>29</v>
      </c>
    </row>
    <row r="23" spans="1:8" x14ac:dyDescent="0.25">
      <c r="A23" s="3" t="str">
        <f>+Maestra[[#This Row],[SoldTO]]&amp;Maestra[[#This Row],[EAN]]&amp;Maestra[[#This Row],[Canal]]</f>
        <v>1001786637703202003475Retail</v>
      </c>
      <c r="B23" s="3" t="s">
        <v>8</v>
      </c>
      <c r="C23" s="4">
        <v>100178663</v>
      </c>
      <c r="D23" s="4" t="s">
        <v>9</v>
      </c>
      <c r="E23" s="3">
        <v>7703202003475</v>
      </c>
      <c r="F23" s="5">
        <v>650554</v>
      </c>
      <c r="G23" s="5">
        <v>101055908</v>
      </c>
      <c r="H23" s="5" t="s">
        <v>30</v>
      </c>
    </row>
    <row r="24" spans="1:8" x14ac:dyDescent="0.25">
      <c r="A24" s="3" t="str">
        <f>+Maestra[[#This Row],[SoldTO]]&amp;Maestra[[#This Row],[EAN]]&amp;Maestra[[#This Row],[Canal]]</f>
        <v>1001786637703202221381Retail</v>
      </c>
      <c r="B24" s="3" t="s">
        <v>8</v>
      </c>
      <c r="C24" s="4">
        <v>100178663</v>
      </c>
      <c r="D24" s="4" t="s">
        <v>9</v>
      </c>
      <c r="E24" s="3">
        <v>7703202221381</v>
      </c>
      <c r="F24" s="5">
        <v>782089</v>
      </c>
      <c r="G24" s="5">
        <v>101048038</v>
      </c>
      <c r="H24" s="5" t="s">
        <v>31</v>
      </c>
    </row>
    <row r="25" spans="1:8" x14ac:dyDescent="0.25">
      <c r="A25" s="3" t="str">
        <f>+Maestra[[#This Row],[SoldTO]]&amp;Maestra[[#This Row],[EAN]]&amp;Maestra[[#This Row],[Canal]]</f>
        <v>1001786637591044008952Retail</v>
      </c>
      <c r="B25" s="3" t="s">
        <v>8</v>
      </c>
      <c r="C25" s="4">
        <v>100178663</v>
      </c>
      <c r="D25" s="4" t="s">
        <v>9</v>
      </c>
      <c r="E25" s="3">
        <v>7591044008952</v>
      </c>
      <c r="F25" s="5">
        <v>666269</v>
      </c>
      <c r="G25" s="5">
        <v>101000079</v>
      </c>
      <c r="H25" s="5" t="s">
        <v>32</v>
      </c>
    </row>
    <row r="26" spans="1:8" x14ac:dyDescent="0.25">
      <c r="A26" s="3" t="str">
        <f>+Maestra[[#This Row],[SoldTO]]&amp;Maestra[[#This Row],[EAN]]&amp;Maestra[[#This Row],[Canal]]</f>
        <v>1001786633664798064728Retail</v>
      </c>
      <c r="B26" s="3" t="s">
        <v>8</v>
      </c>
      <c r="C26" s="4">
        <v>100178663</v>
      </c>
      <c r="D26" s="4" t="s">
        <v>9</v>
      </c>
      <c r="E26" s="7">
        <v>3664798064728</v>
      </c>
      <c r="F26" s="4">
        <v>846778</v>
      </c>
      <c r="G26" s="5">
        <v>295750490</v>
      </c>
      <c r="H26" s="4" t="s">
        <v>33</v>
      </c>
    </row>
    <row r="27" spans="1:8" x14ac:dyDescent="0.25">
      <c r="A27" s="3" t="str">
        <f>+Maestra[[#This Row],[SoldTO]]&amp;Maestra[[#This Row],[EAN]]&amp;Maestra[[#This Row],[Canal]]</f>
        <v>1001786633664798071214Retail</v>
      </c>
      <c r="B27" s="3" t="s">
        <v>8</v>
      </c>
      <c r="C27" s="4">
        <v>100178663</v>
      </c>
      <c r="D27" s="4" t="s">
        <v>9</v>
      </c>
      <c r="E27" s="7">
        <v>3664798071214</v>
      </c>
      <c r="F27" s="3">
        <v>901077</v>
      </c>
      <c r="G27" s="5">
        <v>298200477</v>
      </c>
      <c r="H27" s="4" t="s">
        <v>34</v>
      </c>
    </row>
    <row r="28" spans="1:8" x14ac:dyDescent="0.25">
      <c r="A28" s="3" t="str">
        <f>+Maestra[[#This Row],[SoldTO]]&amp;Maestra[[#This Row],[EAN]]&amp;Maestra[[#This Row],[Canal]]</f>
        <v>1001734997703202221244Retail</v>
      </c>
      <c r="B28" s="3" t="s">
        <v>35</v>
      </c>
      <c r="C28" s="5">
        <v>100173499</v>
      </c>
      <c r="D28" s="4" t="s">
        <v>9</v>
      </c>
      <c r="E28" s="3">
        <v>7703202221244</v>
      </c>
      <c r="F28" s="5">
        <v>782065</v>
      </c>
      <c r="G28" s="5">
        <v>11729</v>
      </c>
      <c r="H28" s="5" t="s">
        <v>36</v>
      </c>
    </row>
    <row r="29" spans="1:8" x14ac:dyDescent="0.25">
      <c r="A29" s="3" t="str">
        <f>+Maestra[[#This Row],[SoldTO]]&amp;Maestra[[#This Row],[EAN]]&amp;Maestra[[#This Row],[Canal]]</f>
        <v>1001734997703202221329Retail</v>
      </c>
      <c r="B29" s="3" t="s">
        <v>35</v>
      </c>
      <c r="C29" s="5">
        <v>100173499</v>
      </c>
      <c r="D29" s="4" t="s">
        <v>9</v>
      </c>
      <c r="E29" s="3">
        <v>7703202221329</v>
      </c>
      <c r="F29" s="5">
        <v>782092</v>
      </c>
      <c r="G29" s="5">
        <v>11731</v>
      </c>
      <c r="H29" s="5" t="s">
        <v>37</v>
      </c>
    </row>
    <row r="30" spans="1:8" x14ac:dyDescent="0.25">
      <c r="A30" s="3" t="str">
        <f>+Maestra[[#This Row],[SoldTO]]&amp;Maestra[[#This Row],[EAN]]&amp;Maestra[[#This Row],[Canal]]</f>
        <v>1001734997703202221305Retail</v>
      </c>
      <c r="B30" s="3" t="s">
        <v>35</v>
      </c>
      <c r="C30" s="5">
        <v>100173499</v>
      </c>
      <c r="D30" s="4" t="s">
        <v>9</v>
      </c>
      <c r="E30" s="3">
        <v>7703202221305</v>
      </c>
      <c r="F30" s="5">
        <v>782086</v>
      </c>
      <c r="G30" s="5">
        <v>11732</v>
      </c>
      <c r="H30" s="5" t="s">
        <v>37</v>
      </c>
    </row>
    <row r="31" spans="1:8" x14ac:dyDescent="0.25">
      <c r="A31" s="3" t="str">
        <f>+Maestra[[#This Row],[SoldTO]]&amp;Maestra[[#This Row],[EAN]]&amp;Maestra[[#This Row],[Canal]]</f>
        <v>1001734997703202221312Retail</v>
      </c>
      <c r="B31" s="3" t="s">
        <v>35</v>
      </c>
      <c r="C31" s="5">
        <v>100173499</v>
      </c>
      <c r="D31" s="4" t="s">
        <v>9</v>
      </c>
      <c r="E31" s="3">
        <v>7703202221312</v>
      </c>
      <c r="F31" s="5">
        <v>782091</v>
      </c>
      <c r="G31" s="5">
        <v>11733</v>
      </c>
      <c r="H31" s="5" t="s">
        <v>37</v>
      </c>
    </row>
    <row r="32" spans="1:8" x14ac:dyDescent="0.25">
      <c r="A32" s="3" t="str">
        <f>+Maestra[[#This Row],[SoldTO]]&amp;Maestra[[#This Row],[EAN]]&amp;Maestra[[#This Row],[Canal]]</f>
        <v>1001734997703202221169Retail</v>
      </c>
      <c r="B32" s="3" t="s">
        <v>35</v>
      </c>
      <c r="C32" s="5">
        <v>100173499</v>
      </c>
      <c r="D32" s="4" t="s">
        <v>9</v>
      </c>
      <c r="E32" s="3">
        <v>7703202221169</v>
      </c>
      <c r="F32" s="5">
        <v>715503</v>
      </c>
      <c r="G32" s="5">
        <v>13221</v>
      </c>
      <c r="H32" s="5" t="s">
        <v>38</v>
      </c>
    </row>
    <row r="33" spans="1:8" x14ac:dyDescent="0.25">
      <c r="A33" s="3" t="str">
        <f>+Maestra[[#This Row],[SoldTO]]&amp;Maestra[[#This Row],[EAN]]&amp;Maestra[[#This Row],[Canal]]</f>
        <v>1001734997591044007191Retail</v>
      </c>
      <c r="B33" s="3" t="s">
        <v>35</v>
      </c>
      <c r="C33" s="5">
        <v>100173499</v>
      </c>
      <c r="D33" s="4" t="s">
        <v>9</v>
      </c>
      <c r="E33" s="3">
        <v>7591044007191</v>
      </c>
      <c r="F33" s="5">
        <v>120786</v>
      </c>
      <c r="G33" s="5">
        <v>15124</v>
      </c>
      <c r="H33" s="5" t="s">
        <v>39</v>
      </c>
    </row>
    <row r="34" spans="1:8" x14ac:dyDescent="0.25">
      <c r="A34" s="3" t="str">
        <f>+Maestra[[#This Row],[SoldTO]]&amp;Maestra[[#This Row],[EAN]]&amp;Maestra[[#This Row],[Canal]]</f>
        <v>1001734997591044009447Retail</v>
      </c>
      <c r="B34" s="3" t="s">
        <v>35</v>
      </c>
      <c r="C34" s="5">
        <v>100173499</v>
      </c>
      <c r="D34" s="4" t="s">
        <v>9</v>
      </c>
      <c r="E34" s="3">
        <v>7591044009447</v>
      </c>
      <c r="F34" s="5">
        <v>120777</v>
      </c>
      <c r="G34" s="5">
        <v>15129</v>
      </c>
      <c r="H34" s="5" t="s">
        <v>40</v>
      </c>
    </row>
    <row r="35" spans="1:8" x14ac:dyDescent="0.25">
      <c r="A35" s="3" t="str">
        <f>+Maestra[[#This Row],[SoldTO]]&amp;Maestra[[#This Row],[EAN]]&amp;Maestra[[#This Row],[Canal]]</f>
        <v>1001734997703202221091Retail</v>
      </c>
      <c r="B35" s="3" t="s">
        <v>35</v>
      </c>
      <c r="C35" s="5">
        <v>100173499</v>
      </c>
      <c r="D35" s="4" t="s">
        <v>9</v>
      </c>
      <c r="E35" s="3">
        <v>7703202221091</v>
      </c>
      <c r="F35" s="5">
        <v>797130</v>
      </c>
      <c r="G35" s="5">
        <v>21977</v>
      </c>
      <c r="H35" s="5" t="s">
        <v>41</v>
      </c>
    </row>
    <row r="36" spans="1:8" x14ac:dyDescent="0.25">
      <c r="A36" s="3" t="str">
        <f>+Maestra[[#This Row],[SoldTO]]&amp;Maestra[[#This Row],[EAN]]&amp;Maestra[[#This Row],[Canal]]</f>
        <v>1001734997591044008952Retail</v>
      </c>
      <c r="B36" s="3" t="s">
        <v>35</v>
      </c>
      <c r="C36" s="5">
        <v>100173499</v>
      </c>
      <c r="D36" s="4" t="s">
        <v>9</v>
      </c>
      <c r="E36" s="3">
        <v>7591044008952</v>
      </c>
      <c r="F36" s="5">
        <v>666269</v>
      </c>
      <c r="G36" s="5">
        <v>22878</v>
      </c>
      <c r="H36" s="5" t="s">
        <v>42</v>
      </c>
    </row>
    <row r="37" spans="1:8" x14ac:dyDescent="0.25">
      <c r="A37" s="3" t="str">
        <f>+Maestra[[#This Row],[SoldTO]]&amp;Maestra[[#This Row],[EAN]]&amp;Maestra[[#This Row],[Canal]]</f>
        <v>1001734997501165007956Retail</v>
      </c>
      <c r="B37" s="3" t="s">
        <v>35</v>
      </c>
      <c r="C37" s="5">
        <v>100173499</v>
      </c>
      <c r="D37" s="4" t="s">
        <v>9</v>
      </c>
      <c r="E37" s="3">
        <v>7501165007956</v>
      </c>
      <c r="F37" s="5">
        <v>655678</v>
      </c>
      <c r="G37" s="5">
        <v>23893</v>
      </c>
      <c r="H37" s="5" t="s">
        <v>43</v>
      </c>
    </row>
    <row r="38" spans="1:8" x14ac:dyDescent="0.25">
      <c r="A38" s="3" t="str">
        <f>+Maestra[[#This Row],[SoldTO]]&amp;Maestra[[#This Row],[EAN]]&amp;Maestra[[#This Row],[Canal]]</f>
        <v>1001734997591044401036Retail</v>
      </c>
      <c r="B38" s="3" t="s">
        <v>35</v>
      </c>
      <c r="C38" s="5">
        <v>100173499</v>
      </c>
      <c r="D38" s="4" t="s">
        <v>9</v>
      </c>
      <c r="E38" s="3">
        <v>7591044401036</v>
      </c>
      <c r="F38" s="5">
        <v>723871</v>
      </c>
      <c r="G38" s="5">
        <v>25528</v>
      </c>
      <c r="H38" s="5" t="s">
        <v>44</v>
      </c>
    </row>
    <row r="39" spans="1:8" x14ac:dyDescent="0.25">
      <c r="A39" s="3" t="str">
        <f>+Maestra[[#This Row],[SoldTO]]&amp;Maestra[[#This Row],[EAN]]&amp;Maestra[[#This Row],[Canal]]</f>
        <v>1001734997591044009010Retail</v>
      </c>
      <c r="B39" s="3" t="s">
        <v>35</v>
      </c>
      <c r="C39" s="5">
        <v>100173499</v>
      </c>
      <c r="D39" s="4" t="s">
        <v>9</v>
      </c>
      <c r="E39" s="3">
        <v>7591044009010</v>
      </c>
      <c r="F39" s="5">
        <v>732308</v>
      </c>
      <c r="G39" s="5">
        <v>25854</v>
      </c>
      <c r="H39" s="5" t="s">
        <v>45</v>
      </c>
    </row>
    <row r="40" spans="1:8" x14ac:dyDescent="0.25">
      <c r="A40" s="3" t="str">
        <f>+Maestra[[#This Row],[SoldTO]]&amp;Maestra[[#This Row],[EAN]]&amp;Maestra[[#This Row],[Canal]]</f>
        <v>1001734997703202010329Retail</v>
      </c>
      <c r="B40" s="3" t="s">
        <v>35</v>
      </c>
      <c r="C40" s="5">
        <v>100173499</v>
      </c>
      <c r="D40" s="4" t="s">
        <v>9</v>
      </c>
      <c r="E40" s="3">
        <v>7703202010329</v>
      </c>
      <c r="F40" s="5">
        <v>341667</v>
      </c>
      <c r="G40" s="5">
        <v>25860</v>
      </c>
      <c r="H40" s="5" t="s">
        <v>46</v>
      </c>
    </row>
    <row r="41" spans="1:8" x14ac:dyDescent="0.25">
      <c r="A41" s="3" t="str">
        <f>+Maestra[[#This Row],[SoldTO]]&amp;Maestra[[#This Row],[EAN]]&amp;Maestra[[#This Row],[Canal]]</f>
        <v>1001734997703202221220Retail</v>
      </c>
      <c r="B41" s="3" t="s">
        <v>35</v>
      </c>
      <c r="C41" s="5">
        <v>100173499</v>
      </c>
      <c r="D41" s="4" t="s">
        <v>9</v>
      </c>
      <c r="E41" s="3">
        <v>7703202221220</v>
      </c>
      <c r="F41" s="5">
        <v>781955</v>
      </c>
      <c r="G41" s="5">
        <v>26120</v>
      </c>
      <c r="H41" s="5" t="s">
        <v>47</v>
      </c>
    </row>
    <row r="42" spans="1:8" x14ac:dyDescent="0.25">
      <c r="A42" s="3" t="str">
        <f>+Maestra[[#This Row],[SoldTO]]&amp;Maestra[[#This Row],[EAN]]&amp;Maestra[[#This Row],[Canal]]</f>
        <v>1001734997703202221336Retail</v>
      </c>
      <c r="B42" s="3" t="s">
        <v>35</v>
      </c>
      <c r="C42" s="5">
        <v>100173499</v>
      </c>
      <c r="D42" s="4" t="s">
        <v>9</v>
      </c>
      <c r="E42" s="3">
        <v>7703202221336</v>
      </c>
      <c r="F42" s="5">
        <v>782093</v>
      </c>
      <c r="G42" s="5">
        <v>46950</v>
      </c>
      <c r="H42" s="5" t="s">
        <v>48</v>
      </c>
    </row>
    <row r="43" spans="1:8" x14ac:dyDescent="0.25">
      <c r="A43" s="3" t="str">
        <f>+Maestra[[#This Row],[SoldTO]]&amp;Maestra[[#This Row],[EAN]]&amp;Maestra[[#This Row],[Canal]]</f>
        <v>1001734993582910009900Retail</v>
      </c>
      <c r="B43" s="3" t="s">
        <v>35</v>
      </c>
      <c r="C43" s="5">
        <v>100173499</v>
      </c>
      <c r="D43" s="4" t="s">
        <v>9</v>
      </c>
      <c r="E43" s="3">
        <v>3582910009900</v>
      </c>
      <c r="F43" s="5">
        <v>873229</v>
      </c>
      <c r="G43" s="5">
        <v>47409</v>
      </c>
      <c r="H43" s="5" t="s">
        <v>49</v>
      </c>
    </row>
    <row r="44" spans="1:8" x14ac:dyDescent="0.25">
      <c r="A44" s="3" t="str">
        <f>+Maestra[[#This Row],[SoldTO]]&amp;Maestra[[#This Row],[EAN]]&amp;Maestra[[#This Row],[Canal]]</f>
        <v>1001734997703202221275Retail</v>
      </c>
      <c r="B44" s="3" t="s">
        <v>35</v>
      </c>
      <c r="C44" s="5">
        <v>100173499</v>
      </c>
      <c r="D44" s="4" t="s">
        <v>9</v>
      </c>
      <c r="E44" s="3">
        <v>7703202221275</v>
      </c>
      <c r="F44" s="5">
        <v>782074</v>
      </c>
      <c r="G44" s="5">
        <v>47598</v>
      </c>
      <c r="H44" s="5" t="s">
        <v>50</v>
      </c>
    </row>
    <row r="45" spans="1:8" x14ac:dyDescent="0.25">
      <c r="A45" s="3" t="str">
        <f>+Maestra[[#This Row],[SoldTO]]&amp;Maestra[[#This Row],[EAN]]&amp;Maestra[[#This Row],[Canal]]</f>
        <v>1001734997703202221176Retail</v>
      </c>
      <c r="B45" s="3" t="s">
        <v>35</v>
      </c>
      <c r="C45" s="5">
        <v>100173499</v>
      </c>
      <c r="D45" s="4" t="s">
        <v>9</v>
      </c>
      <c r="E45" s="3">
        <v>7703202221176</v>
      </c>
      <c r="F45" s="5">
        <v>715717</v>
      </c>
      <c r="G45" s="5">
        <v>50348</v>
      </c>
      <c r="H45" s="5" t="s">
        <v>51</v>
      </c>
    </row>
    <row r="46" spans="1:8" x14ac:dyDescent="0.25">
      <c r="A46" s="3" t="str">
        <f>+Maestra[[#This Row],[SoldTO]]&amp;Maestra[[#This Row],[EAN]]&amp;Maestra[[#This Row],[Canal]]</f>
        <v>1001734997703381002146Retail</v>
      </c>
      <c r="B46" s="3" t="s">
        <v>35</v>
      </c>
      <c r="C46" s="5">
        <v>100173499</v>
      </c>
      <c r="D46" s="4" t="s">
        <v>9</v>
      </c>
      <c r="E46" s="3">
        <v>7703381002146</v>
      </c>
      <c r="F46" s="5">
        <v>715717</v>
      </c>
      <c r="G46" s="5">
        <v>50348</v>
      </c>
      <c r="H46" s="5" t="s">
        <v>51</v>
      </c>
    </row>
    <row r="47" spans="1:8" x14ac:dyDescent="0.25">
      <c r="A47" s="3" t="str">
        <f>+Maestra[[#This Row],[SoldTO]]&amp;Maestra[[#This Row],[EAN]]&amp;Maestra[[#This Row],[Canal]]</f>
        <v>1001734997703202221152Retail</v>
      </c>
      <c r="B47" s="3" t="s">
        <v>35</v>
      </c>
      <c r="C47" s="5">
        <v>100173499</v>
      </c>
      <c r="D47" s="4" t="s">
        <v>9</v>
      </c>
      <c r="E47" s="3">
        <v>7703202221152</v>
      </c>
      <c r="F47" s="5">
        <v>715506</v>
      </c>
      <c r="G47" s="5">
        <v>58826</v>
      </c>
      <c r="H47" s="5" t="s">
        <v>38</v>
      </c>
    </row>
    <row r="48" spans="1:8" x14ac:dyDescent="0.25">
      <c r="A48" s="3" t="str">
        <f>+Maestra[[#This Row],[SoldTO]]&amp;Maestra[[#This Row],[EAN]]&amp;Maestra[[#This Row],[Canal]]</f>
        <v>1001734997795312100090Retail</v>
      </c>
      <c r="B48" s="3" t="s">
        <v>35</v>
      </c>
      <c r="C48" s="5">
        <v>100173499</v>
      </c>
      <c r="D48" s="4" t="s">
        <v>9</v>
      </c>
      <c r="E48" s="3">
        <v>7795312100090</v>
      </c>
      <c r="F48" s="5">
        <v>785678</v>
      </c>
      <c r="G48" s="5">
        <v>68585</v>
      </c>
      <c r="H48" s="5" t="s">
        <v>52</v>
      </c>
    </row>
    <row r="49" spans="1:8" x14ac:dyDescent="0.25">
      <c r="A49" s="3" t="str">
        <f>+Maestra[[#This Row],[SoldTO]]&amp;Maestra[[#This Row],[EAN]]&amp;Maestra[[#This Row],[Canal]]</f>
        <v>1001734997703202221800Retail</v>
      </c>
      <c r="B49" s="3" t="s">
        <v>35</v>
      </c>
      <c r="C49" s="5">
        <v>100173499</v>
      </c>
      <c r="D49" s="4" t="s">
        <v>9</v>
      </c>
      <c r="E49" s="3">
        <v>7703202221800</v>
      </c>
      <c r="F49" s="5">
        <v>893499</v>
      </c>
      <c r="G49" s="5">
        <v>84797</v>
      </c>
      <c r="H49" s="5" t="s">
        <v>53</v>
      </c>
    </row>
    <row r="50" spans="1:8" x14ac:dyDescent="0.25">
      <c r="A50" s="3" t="str">
        <f>+Maestra[[#This Row],[SoldTO]]&amp;Maestra[[#This Row],[EAN]]&amp;Maestra[[#This Row],[Canal]]</f>
        <v>1001734997703202221381Retail</v>
      </c>
      <c r="B50" s="3" t="s">
        <v>35</v>
      </c>
      <c r="C50" s="5">
        <v>100173499</v>
      </c>
      <c r="D50" s="4" t="s">
        <v>9</v>
      </c>
      <c r="E50" s="3">
        <v>7703202221381</v>
      </c>
      <c r="F50" s="5">
        <v>782089</v>
      </c>
      <c r="G50" s="5">
        <v>100904</v>
      </c>
      <c r="H50" s="5" t="s">
        <v>54</v>
      </c>
    </row>
    <row r="51" spans="1:8" x14ac:dyDescent="0.25">
      <c r="A51" s="3" t="str">
        <f>+Maestra[[#This Row],[SoldTO]]&amp;Maestra[[#This Row],[EAN]]&amp;Maestra[[#This Row],[Canal]]</f>
        <v>1001734997703202221428Retail</v>
      </c>
      <c r="B51" s="3" t="s">
        <v>35</v>
      </c>
      <c r="C51" s="5">
        <v>100173499</v>
      </c>
      <c r="D51" s="4" t="s">
        <v>9</v>
      </c>
      <c r="E51" s="3">
        <v>7703202221428</v>
      </c>
      <c r="F51" s="5">
        <v>782090</v>
      </c>
      <c r="G51" s="5">
        <v>100905</v>
      </c>
      <c r="H51" s="5" t="s">
        <v>55</v>
      </c>
    </row>
    <row r="52" spans="1:8" x14ac:dyDescent="0.25">
      <c r="A52" s="3" t="str">
        <f>+Maestra[[#This Row],[SoldTO]]&amp;Maestra[[#This Row],[EAN]]&amp;Maestra[[#This Row],[Canal]]</f>
        <v>1001734997702771001561Retail</v>
      </c>
      <c r="B52" s="3" t="s">
        <v>35</v>
      </c>
      <c r="C52" s="5">
        <v>100173499</v>
      </c>
      <c r="D52" s="4" t="s">
        <v>9</v>
      </c>
      <c r="E52" s="3">
        <v>7702771001561</v>
      </c>
      <c r="F52" s="5">
        <v>873239</v>
      </c>
      <c r="G52" s="5">
        <v>110323</v>
      </c>
      <c r="H52" s="5" t="s">
        <v>56</v>
      </c>
    </row>
    <row r="53" spans="1:8" x14ac:dyDescent="0.25">
      <c r="A53" s="3" t="str">
        <f>+Maestra[[#This Row],[SoldTO]]&amp;Maestra[[#This Row],[EAN]]&amp;Maestra[[#This Row],[Canal]]</f>
        <v>1001734997501165010444Retail</v>
      </c>
      <c r="B53" s="3" t="s">
        <v>35</v>
      </c>
      <c r="C53" s="5">
        <v>100173499</v>
      </c>
      <c r="D53" s="4" t="s">
        <v>9</v>
      </c>
      <c r="E53" s="3">
        <v>7501165010444</v>
      </c>
      <c r="F53" s="5">
        <v>600723</v>
      </c>
      <c r="G53" s="5">
        <v>118952</v>
      </c>
      <c r="H53" s="5" t="s">
        <v>57</v>
      </c>
    </row>
    <row r="54" spans="1:8" x14ac:dyDescent="0.25">
      <c r="A54" s="3" t="str">
        <f>+Maestra[[#This Row],[SoldTO]]&amp;Maestra[[#This Row],[EAN]]&amp;Maestra[[#This Row],[Canal]]</f>
        <v>1001734997703202221282Retail</v>
      </c>
      <c r="B54" s="3" t="s">
        <v>35</v>
      </c>
      <c r="C54" s="5">
        <v>100173499</v>
      </c>
      <c r="D54" s="4" t="s">
        <v>9</v>
      </c>
      <c r="E54" s="3">
        <v>7703202221282</v>
      </c>
      <c r="F54" s="5">
        <v>782085</v>
      </c>
      <c r="G54" s="5">
        <v>120610</v>
      </c>
      <c r="H54" s="5" t="s">
        <v>58</v>
      </c>
    </row>
    <row r="55" spans="1:8" x14ac:dyDescent="0.25">
      <c r="A55" s="3" t="str">
        <f>+Maestra[[#This Row],[SoldTO]]&amp;Maestra[[#This Row],[EAN]]&amp;Maestra[[#This Row],[Canal]]</f>
        <v>1001734997703202003475Retail</v>
      </c>
      <c r="B55" s="3" t="s">
        <v>35</v>
      </c>
      <c r="C55" s="5">
        <v>100173499</v>
      </c>
      <c r="D55" s="4" t="s">
        <v>9</v>
      </c>
      <c r="E55" s="3">
        <v>7703202003475</v>
      </c>
      <c r="F55" s="5">
        <v>650554</v>
      </c>
      <c r="G55" s="5">
        <v>120771</v>
      </c>
      <c r="H55" s="5" t="s">
        <v>59</v>
      </c>
    </row>
    <row r="56" spans="1:8" x14ac:dyDescent="0.25">
      <c r="A56" s="3" t="str">
        <f>+Maestra[[#This Row],[SoldTO]]&amp;Maestra[[#This Row],[EAN]]&amp;Maestra[[#This Row],[Canal]]</f>
        <v>1001734993664798064728Retail</v>
      </c>
      <c r="B56" s="3" t="s">
        <v>35</v>
      </c>
      <c r="C56" s="5">
        <v>100173499</v>
      </c>
      <c r="D56" s="4" t="s">
        <v>9</v>
      </c>
      <c r="E56" s="3">
        <v>3664798064728</v>
      </c>
      <c r="F56" s="3">
        <v>846778</v>
      </c>
      <c r="G56" s="3">
        <v>156006</v>
      </c>
      <c r="H56" s="4" t="s">
        <v>33</v>
      </c>
    </row>
    <row r="57" spans="1:8" x14ac:dyDescent="0.25">
      <c r="A57" s="3" t="str">
        <f>+Maestra[[#This Row],[SoldTO]]&amp;Maestra[[#This Row],[EAN]]&amp;Maestra[[#This Row],[Canal]]</f>
        <v>1001735127703202221244Retail</v>
      </c>
      <c r="B57" s="3" t="s">
        <v>60</v>
      </c>
      <c r="C57" s="5">
        <v>100173512</v>
      </c>
      <c r="D57" s="4" t="s">
        <v>9</v>
      </c>
      <c r="E57" s="3">
        <v>7703202221244</v>
      </c>
      <c r="F57" s="5">
        <v>782065</v>
      </c>
      <c r="G57" s="5">
        <v>6933</v>
      </c>
      <c r="H57" s="5" t="s">
        <v>36</v>
      </c>
    </row>
    <row r="58" spans="1:8" x14ac:dyDescent="0.25">
      <c r="A58" s="3" t="str">
        <f>+Maestra[[#This Row],[SoldTO]]&amp;Maestra[[#This Row],[EAN]]&amp;Maestra[[#This Row],[Canal]]</f>
        <v>1001735127703202221329Retail</v>
      </c>
      <c r="B58" s="3" t="s">
        <v>60</v>
      </c>
      <c r="C58" s="5">
        <v>100173512</v>
      </c>
      <c r="D58" s="4" t="s">
        <v>9</v>
      </c>
      <c r="E58" s="3">
        <v>7703202221329</v>
      </c>
      <c r="F58" s="5">
        <v>782092</v>
      </c>
      <c r="G58" s="5">
        <v>1271095</v>
      </c>
      <c r="H58" s="5" t="s">
        <v>37</v>
      </c>
    </row>
    <row r="59" spans="1:8" x14ac:dyDescent="0.25">
      <c r="A59" s="3" t="str">
        <f>+Maestra[[#This Row],[SoldTO]]&amp;Maestra[[#This Row],[EAN]]&amp;Maestra[[#This Row],[Canal]]</f>
        <v>1001735127703202221305Retail</v>
      </c>
      <c r="B59" s="3" t="s">
        <v>60</v>
      </c>
      <c r="C59" s="5">
        <v>100173512</v>
      </c>
      <c r="D59" s="4" t="s">
        <v>9</v>
      </c>
      <c r="E59" s="3">
        <v>7703202221305</v>
      </c>
      <c r="F59" s="5">
        <v>782086</v>
      </c>
      <c r="G59" s="5">
        <v>40999</v>
      </c>
      <c r="H59" s="5" t="s">
        <v>37</v>
      </c>
    </row>
    <row r="60" spans="1:8" x14ac:dyDescent="0.25">
      <c r="A60" s="3" t="str">
        <f>+Maestra[[#This Row],[SoldTO]]&amp;Maestra[[#This Row],[EAN]]&amp;Maestra[[#This Row],[Canal]]</f>
        <v>1001735127703202221169Retail</v>
      </c>
      <c r="B60" s="3" t="s">
        <v>60</v>
      </c>
      <c r="C60" s="5">
        <v>100173512</v>
      </c>
      <c r="D60" s="4" t="s">
        <v>9</v>
      </c>
      <c r="E60" s="3">
        <v>7703202221169</v>
      </c>
      <c r="F60" s="5">
        <v>715503</v>
      </c>
      <c r="G60" s="5">
        <v>55442</v>
      </c>
      <c r="H60" s="5" t="s">
        <v>61</v>
      </c>
    </row>
    <row r="61" spans="1:8" x14ac:dyDescent="0.25">
      <c r="A61" s="3" t="str">
        <f>+Maestra[[#This Row],[SoldTO]]&amp;Maestra[[#This Row],[EAN]]&amp;Maestra[[#This Row],[Canal]]</f>
        <v>1001735127591044007191Retail</v>
      </c>
      <c r="B61" s="3" t="s">
        <v>60</v>
      </c>
      <c r="C61" s="5">
        <v>100173512</v>
      </c>
      <c r="D61" s="4" t="s">
        <v>9</v>
      </c>
      <c r="E61" s="3">
        <v>7591044007191</v>
      </c>
      <c r="F61" s="5">
        <v>120786</v>
      </c>
      <c r="G61" s="5">
        <v>64568</v>
      </c>
      <c r="H61" s="5" t="s">
        <v>39</v>
      </c>
    </row>
    <row r="62" spans="1:8" x14ac:dyDescent="0.25">
      <c r="A62" s="3" t="str">
        <f>+Maestra[[#This Row],[SoldTO]]&amp;Maestra[[#This Row],[EAN]]&amp;Maestra[[#This Row],[Canal]]</f>
        <v>1001735127591044009447Retail</v>
      </c>
      <c r="B62" s="3" t="s">
        <v>60</v>
      </c>
      <c r="C62" s="5">
        <v>100173512</v>
      </c>
      <c r="D62" s="4" t="s">
        <v>9</v>
      </c>
      <c r="E62" s="3">
        <v>7591044009447</v>
      </c>
      <c r="F62" s="5">
        <v>120777</v>
      </c>
      <c r="G62" s="5">
        <v>9332</v>
      </c>
      <c r="H62" s="5" t="s">
        <v>40</v>
      </c>
    </row>
    <row r="63" spans="1:8" x14ac:dyDescent="0.25">
      <c r="A63" s="3" t="str">
        <f>+Maestra[[#This Row],[SoldTO]]&amp;Maestra[[#This Row],[EAN]]&amp;Maestra[[#This Row],[Canal]]</f>
        <v>1001735127591044008952Retail</v>
      </c>
      <c r="B63" s="3" t="s">
        <v>60</v>
      </c>
      <c r="C63" s="5">
        <v>100173512</v>
      </c>
      <c r="D63" s="4" t="s">
        <v>9</v>
      </c>
      <c r="E63" s="3">
        <v>7591044008952</v>
      </c>
      <c r="F63" s="5">
        <v>666269</v>
      </c>
      <c r="G63" s="5">
        <v>334003</v>
      </c>
      <c r="H63" s="5" t="s">
        <v>42</v>
      </c>
    </row>
    <row r="64" spans="1:8" x14ac:dyDescent="0.25">
      <c r="A64" s="3" t="str">
        <f>+Maestra[[#This Row],[SoldTO]]&amp;Maestra[[#This Row],[EAN]]&amp;Maestra[[#This Row],[Canal]]</f>
        <v>1001735127501165007956Retail</v>
      </c>
      <c r="B64" s="3" t="s">
        <v>60</v>
      </c>
      <c r="C64" s="5">
        <v>100173512</v>
      </c>
      <c r="D64" s="4" t="s">
        <v>9</v>
      </c>
      <c r="E64" s="3">
        <v>7501165007956</v>
      </c>
      <c r="F64" s="5">
        <v>655678</v>
      </c>
      <c r="G64" s="5">
        <v>1258820</v>
      </c>
      <c r="H64" s="5" t="s">
        <v>43</v>
      </c>
    </row>
    <row r="65" spans="1:8" x14ac:dyDescent="0.25">
      <c r="A65" s="3" t="str">
        <f>+Maestra[[#This Row],[SoldTO]]&amp;Maestra[[#This Row],[EAN]]&amp;Maestra[[#This Row],[Canal]]</f>
        <v>1001735127703202003475Retail</v>
      </c>
      <c r="B65" s="3" t="s">
        <v>60</v>
      </c>
      <c r="C65" s="5">
        <v>100173512</v>
      </c>
      <c r="D65" s="4" t="s">
        <v>9</v>
      </c>
      <c r="E65" s="3">
        <v>7703202003475</v>
      </c>
      <c r="F65" s="5">
        <v>650554</v>
      </c>
      <c r="G65" s="5">
        <v>1269901</v>
      </c>
      <c r="H65" s="5" t="s">
        <v>62</v>
      </c>
    </row>
    <row r="66" spans="1:8" x14ac:dyDescent="0.25">
      <c r="A66" s="3" t="str">
        <f>+Maestra[[#This Row],[SoldTO]]&amp;Maestra[[#This Row],[EAN]]&amp;Maestra[[#This Row],[Canal]]</f>
        <v>1001735127591044401036Retail</v>
      </c>
      <c r="B66" s="3" t="s">
        <v>60</v>
      </c>
      <c r="C66" s="5">
        <v>100173512</v>
      </c>
      <c r="D66" s="4" t="s">
        <v>9</v>
      </c>
      <c r="E66" s="3">
        <v>7591044401036</v>
      </c>
      <c r="F66" s="5">
        <v>723871</v>
      </c>
      <c r="G66" s="5">
        <v>356801</v>
      </c>
      <c r="H66" s="5" t="s">
        <v>44</v>
      </c>
    </row>
    <row r="67" spans="1:8" x14ac:dyDescent="0.25">
      <c r="A67" s="3" t="str">
        <f>+Maestra[[#This Row],[SoldTO]]&amp;Maestra[[#This Row],[EAN]]&amp;Maestra[[#This Row],[Canal]]</f>
        <v>1001735127591044009010Retail</v>
      </c>
      <c r="B67" s="3" t="s">
        <v>60</v>
      </c>
      <c r="C67" s="5">
        <v>100173512</v>
      </c>
      <c r="D67" s="4" t="s">
        <v>9</v>
      </c>
      <c r="E67" s="3">
        <v>7591044009010</v>
      </c>
      <c r="F67" s="5">
        <v>732308</v>
      </c>
      <c r="G67" s="5">
        <v>370032</v>
      </c>
      <c r="H67" s="5" t="s">
        <v>45</v>
      </c>
    </row>
    <row r="68" spans="1:8" x14ac:dyDescent="0.25">
      <c r="A68" s="3" t="str">
        <f>+Maestra[[#This Row],[SoldTO]]&amp;Maestra[[#This Row],[EAN]]&amp;Maestra[[#This Row],[Canal]]</f>
        <v>1001735127703202010329Retail</v>
      </c>
      <c r="B68" s="3" t="s">
        <v>60</v>
      </c>
      <c r="C68" s="5">
        <v>100173512</v>
      </c>
      <c r="D68" s="4" t="s">
        <v>9</v>
      </c>
      <c r="E68" s="3">
        <v>7703202010329</v>
      </c>
      <c r="F68" s="5">
        <v>341667</v>
      </c>
      <c r="G68" s="5">
        <v>370069</v>
      </c>
      <c r="H68" s="5" t="s">
        <v>46</v>
      </c>
    </row>
    <row r="69" spans="1:8" x14ac:dyDescent="0.25">
      <c r="A69" s="3" t="str">
        <f>+Maestra[[#This Row],[SoldTO]]&amp;Maestra[[#This Row],[EAN]]&amp;Maestra[[#This Row],[Canal]]</f>
        <v>1001735127703202221220Retail</v>
      </c>
      <c r="B69" s="3" t="s">
        <v>60</v>
      </c>
      <c r="C69" s="5">
        <v>100173512</v>
      </c>
      <c r="D69" s="4" t="s">
        <v>9</v>
      </c>
      <c r="E69" s="3">
        <v>7703202221220</v>
      </c>
      <c r="F69" s="5">
        <v>781955</v>
      </c>
      <c r="G69" s="5">
        <v>372646</v>
      </c>
      <c r="H69" s="5" t="s">
        <v>47</v>
      </c>
    </row>
    <row r="70" spans="1:8" x14ac:dyDescent="0.25">
      <c r="A70" s="3" t="str">
        <f>+Maestra[[#This Row],[SoldTO]]&amp;Maestra[[#This Row],[EAN]]&amp;Maestra[[#This Row],[Canal]]</f>
        <v>1001735127703202221336Retail</v>
      </c>
      <c r="B70" s="3" t="s">
        <v>60</v>
      </c>
      <c r="C70" s="5">
        <v>100173512</v>
      </c>
      <c r="D70" s="4" t="s">
        <v>9</v>
      </c>
      <c r="E70" s="3">
        <v>7703202221336</v>
      </c>
      <c r="F70" s="5">
        <v>782093</v>
      </c>
      <c r="G70" s="5">
        <v>1271096</v>
      </c>
      <c r="H70" s="5" t="s">
        <v>48</v>
      </c>
    </row>
    <row r="71" spans="1:8" x14ac:dyDescent="0.25">
      <c r="A71" s="3" t="str">
        <f>+Maestra[[#This Row],[SoldTO]]&amp;Maestra[[#This Row],[EAN]]&amp;Maestra[[#This Row],[Canal]]</f>
        <v>1001735123582910009900Retail</v>
      </c>
      <c r="B71" s="3" t="s">
        <v>60</v>
      </c>
      <c r="C71" s="5">
        <v>100173512</v>
      </c>
      <c r="D71" s="4" t="s">
        <v>9</v>
      </c>
      <c r="E71" s="3">
        <v>3582910009900</v>
      </c>
      <c r="F71" s="5">
        <v>873229</v>
      </c>
      <c r="G71" s="5">
        <v>928520</v>
      </c>
      <c r="H71" s="5" t="s">
        <v>49</v>
      </c>
    </row>
    <row r="72" spans="1:8" x14ac:dyDescent="0.25">
      <c r="A72" s="3" t="str">
        <f>+Maestra[[#This Row],[SoldTO]]&amp;Maestra[[#This Row],[EAN]]&amp;Maestra[[#This Row],[Canal]]</f>
        <v>1001735127703202221275Retail</v>
      </c>
      <c r="B72" s="3" t="s">
        <v>60</v>
      </c>
      <c r="C72" s="5">
        <v>100173512</v>
      </c>
      <c r="D72" s="4" t="s">
        <v>9</v>
      </c>
      <c r="E72" s="3">
        <v>7703202221275</v>
      </c>
      <c r="F72" s="5">
        <v>782074</v>
      </c>
      <c r="G72" s="5">
        <v>934211</v>
      </c>
      <c r="H72" s="5" t="s">
        <v>50</v>
      </c>
    </row>
    <row r="73" spans="1:8" x14ac:dyDescent="0.25">
      <c r="A73" s="3" t="str">
        <f>+Maestra[[#This Row],[SoldTO]]&amp;Maestra[[#This Row],[EAN]]&amp;Maestra[[#This Row],[Canal]]</f>
        <v>1001735127703202221176Retail</v>
      </c>
      <c r="B73" s="3" t="s">
        <v>60</v>
      </c>
      <c r="C73" s="5">
        <v>100173512</v>
      </c>
      <c r="D73" s="4" t="s">
        <v>9</v>
      </c>
      <c r="E73" s="3">
        <v>7703202221176</v>
      </c>
      <c r="F73" s="5">
        <v>715717</v>
      </c>
      <c r="G73" s="5">
        <v>982597</v>
      </c>
      <c r="H73" s="5" t="s">
        <v>51</v>
      </c>
    </row>
    <row r="74" spans="1:8" x14ac:dyDescent="0.25">
      <c r="A74" s="3" t="str">
        <f>+Maestra[[#This Row],[SoldTO]]&amp;Maestra[[#This Row],[EAN]]&amp;Maestra[[#This Row],[Canal]]</f>
        <v>1001735127703381002146Retail</v>
      </c>
      <c r="B74" s="3" t="s">
        <v>60</v>
      </c>
      <c r="C74" s="5">
        <v>100173512</v>
      </c>
      <c r="D74" s="4" t="s">
        <v>9</v>
      </c>
      <c r="E74" s="3">
        <v>7703381002146</v>
      </c>
      <c r="F74" s="5">
        <v>715717</v>
      </c>
      <c r="G74" s="5">
        <v>982597</v>
      </c>
      <c r="H74" s="5" t="s">
        <v>51</v>
      </c>
    </row>
    <row r="75" spans="1:8" x14ac:dyDescent="0.25">
      <c r="A75" s="3" t="str">
        <f>+Maestra[[#This Row],[SoldTO]]&amp;Maestra[[#This Row],[EAN]]&amp;Maestra[[#This Row],[Canal]]</f>
        <v>1001735127703202221152Retail</v>
      </c>
      <c r="B75" s="3" t="s">
        <v>60</v>
      </c>
      <c r="C75" s="5">
        <v>100173512</v>
      </c>
      <c r="D75" s="4" t="s">
        <v>9</v>
      </c>
      <c r="E75" s="3">
        <v>7703202221152</v>
      </c>
      <c r="F75" s="5">
        <v>715506</v>
      </c>
      <c r="G75" s="5">
        <v>1087419</v>
      </c>
      <c r="H75" s="5" t="s">
        <v>63</v>
      </c>
    </row>
    <row r="76" spans="1:8" x14ac:dyDescent="0.25">
      <c r="A76" s="3" t="str">
        <f>+Maestra[[#This Row],[SoldTO]]&amp;Maestra[[#This Row],[EAN]]&amp;Maestra[[#This Row],[Canal]]</f>
        <v>1001735127795312100090Retail</v>
      </c>
      <c r="B76" s="3" t="s">
        <v>60</v>
      </c>
      <c r="C76" s="5">
        <v>100173512</v>
      </c>
      <c r="D76" s="4" t="s">
        <v>9</v>
      </c>
      <c r="E76" s="3">
        <v>7795312100090</v>
      </c>
      <c r="F76" s="5">
        <v>785678</v>
      </c>
      <c r="G76" s="5">
        <v>1167480</v>
      </c>
      <c r="H76" s="5" t="s">
        <v>52</v>
      </c>
    </row>
    <row r="77" spans="1:8" x14ac:dyDescent="0.25">
      <c r="A77" s="3" t="str">
        <f>+Maestra[[#This Row],[SoldTO]]&amp;Maestra[[#This Row],[EAN]]&amp;Maestra[[#This Row],[Canal]]</f>
        <v>1001735127702605107407Retail</v>
      </c>
      <c r="B77" s="3" t="s">
        <v>60</v>
      </c>
      <c r="C77" s="5">
        <v>100173512</v>
      </c>
      <c r="D77" s="4" t="s">
        <v>9</v>
      </c>
      <c r="E77" s="3">
        <v>7702605107407</v>
      </c>
      <c r="F77" s="5">
        <v>893499</v>
      </c>
      <c r="G77" s="5">
        <v>1222416</v>
      </c>
      <c r="H77" s="5" t="s">
        <v>53</v>
      </c>
    </row>
    <row r="78" spans="1:8" x14ac:dyDescent="0.25">
      <c r="A78" s="3" t="str">
        <f>+Maestra[[#This Row],[SoldTO]]&amp;Maestra[[#This Row],[EAN]]&amp;Maestra[[#This Row],[Canal]]</f>
        <v>1001735127703202221381Retail</v>
      </c>
      <c r="B78" s="3" t="s">
        <v>60</v>
      </c>
      <c r="C78" s="5">
        <v>100173512</v>
      </c>
      <c r="D78" s="4" t="s">
        <v>9</v>
      </c>
      <c r="E78" s="3">
        <v>7703202221381</v>
      </c>
      <c r="F78" s="5">
        <v>782089</v>
      </c>
      <c r="G78" s="5">
        <v>1262181</v>
      </c>
      <c r="H78" s="5" t="s">
        <v>54</v>
      </c>
    </row>
    <row r="79" spans="1:8" x14ac:dyDescent="0.25">
      <c r="A79" s="3" t="str">
        <f>+Maestra[[#This Row],[SoldTO]]&amp;Maestra[[#This Row],[EAN]]&amp;Maestra[[#This Row],[Canal]]</f>
        <v>1001735127703202221428Retail</v>
      </c>
      <c r="B79" s="3" t="s">
        <v>60</v>
      </c>
      <c r="C79" s="5">
        <v>100173512</v>
      </c>
      <c r="D79" s="4" t="s">
        <v>9</v>
      </c>
      <c r="E79" s="3">
        <v>7703202221428</v>
      </c>
      <c r="F79" s="5">
        <v>782090</v>
      </c>
      <c r="G79" s="5">
        <v>1262222</v>
      </c>
      <c r="H79" s="5" t="s">
        <v>55</v>
      </c>
    </row>
    <row r="80" spans="1:8" x14ac:dyDescent="0.25">
      <c r="A80" s="3" t="str">
        <f>+Maestra[[#This Row],[SoldTO]]&amp;Maestra[[#This Row],[EAN]]&amp;Maestra[[#This Row],[Canal]]</f>
        <v>1001735127702771001561Retail</v>
      </c>
      <c r="B80" s="3" t="s">
        <v>60</v>
      </c>
      <c r="C80" s="5">
        <v>100173512</v>
      </c>
      <c r="D80" s="4" t="s">
        <v>9</v>
      </c>
      <c r="E80" s="3">
        <v>7702771001561</v>
      </c>
      <c r="F80" s="5">
        <v>873239</v>
      </c>
      <c r="G80" s="5">
        <v>1266274</v>
      </c>
      <c r="H80" s="5" t="s">
        <v>56</v>
      </c>
    </row>
    <row r="81" spans="1:8" x14ac:dyDescent="0.25">
      <c r="A81" s="3" t="str">
        <f>+Maestra[[#This Row],[SoldTO]]&amp;Maestra[[#This Row],[EAN]]&amp;Maestra[[#This Row],[Canal]]</f>
        <v>1001735127501165010444Retail</v>
      </c>
      <c r="B81" s="3" t="s">
        <v>60</v>
      </c>
      <c r="C81" s="5">
        <v>100173512</v>
      </c>
      <c r="D81" s="4" t="s">
        <v>9</v>
      </c>
      <c r="E81" s="3">
        <v>7501165010444</v>
      </c>
      <c r="F81" s="5">
        <v>600723</v>
      </c>
      <c r="G81" s="5">
        <v>1268666</v>
      </c>
      <c r="H81" s="5" t="s">
        <v>57</v>
      </c>
    </row>
    <row r="82" spans="1:8" x14ac:dyDescent="0.25">
      <c r="A82" s="3" t="str">
        <f>+Maestra[[#This Row],[SoldTO]]&amp;Maestra[[#This Row],[EAN]]&amp;Maestra[[#This Row],[Canal]]</f>
        <v>1001735123664798064728Retail</v>
      </c>
      <c r="B82" s="3" t="s">
        <v>60</v>
      </c>
      <c r="C82" s="5">
        <v>100173512</v>
      </c>
      <c r="D82" s="4" t="s">
        <v>9</v>
      </c>
      <c r="E82" s="7">
        <v>3664798064728</v>
      </c>
      <c r="F82" s="4">
        <v>846778</v>
      </c>
      <c r="G82" s="5">
        <v>1297614</v>
      </c>
      <c r="H82" s="5" t="s">
        <v>33</v>
      </c>
    </row>
    <row r="83" spans="1:8" x14ac:dyDescent="0.25">
      <c r="A83" s="3" t="str">
        <f>+Maestra[[#This Row],[SoldTO]]&amp;Maestra[[#This Row],[EAN]]&amp;Maestra[[#This Row],[Canal]]</f>
        <v>1001735127703202221244Institucional</v>
      </c>
      <c r="B83" s="8" t="s">
        <v>60</v>
      </c>
      <c r="C83" s="3">
        <v>100173512</v>
      </c>
      <c r="D83" s="9" t="s">
        <v>64</v>
      </c>
      <c r="E83" s="8">
        <v>7703202221244</v>
      </c>
      <c r="F83" s="8">
        <v>782065</v>
      </c>
      <c r="G83" s="8">
        <v>391926</v>
      </c>
      <c r="H83" s="9" t="s">
        <v>36</v>
      </c>
    </row>
    <row r="84" spans="1:8" x14ac:dyDescent="0.25">
      <c r="A84" s="3" t="str">
        <f>+Maestra[[#This Row],[SoldTO]]&amp;Maestra[[#This Row],[EAN]]&amp;Maestra[[#This Row],[Canal]]</f>
        <v>1001735127703202221305Institucional</v>
      </c>
      <c r="B84" s="8" t="s">
        <v>60</v>
      </c>
      <c r="C84" s="3">
        <v>100173512</v>
      </c>
      <c r="D84" s="9" t="s">
        <v>64</v>
      </c>
      <c r="E84" s="8">
        <v>7703202221305</v>
      </c>
      <c r="F84" s="8">
        <v>782086</v>
      </c>
      <c r="G84" s="8">
        <v>1261915</v>
      </c>
      <c r="H84" s="9" t="s">
        <v>65</v>
      </c>
    </row>
    <row r="85" spans="1:8" x14ac:dyDescent="0.25">
      <c r="A85" s="3" t="str">
        <f>+Maestra[[#This Row],[SoldTO]]&amp;Maestra[[#This Row],[EAN]]&amp;Maestra[[#This Row],[Canal]]</f>
        <v>1001735127703202221312Institucional</v>
      </c>
      <c r="B85" s="8" t="s">
        <v>60</v>
      </c>
      <c r="C85" s="3">
        <v>100173512</v>
      </c>
      <c r="D85" s="9" t="s">
        <v>64</v>
      </c>
      <c r="E85" s="8">
        <v>7703202221312</v>
      </c>
      <c r="F85" s="8">
        <v>782091</v>
      </c>
      <c r="G85" s="8">
        <v>1270905</v>
      </c>
      <c r="H85" s="9" t="s">
        <v>66</v>
      </c>
    </row>
    <row r="86" spans="1:8" x14ac:dyDescent="0.25">
      <c r="A86" s="3" t="str">
        <f>+Maestra[[#This Row],[SoldTO]]&amp;Maestra[[#This Row],[EAN]]&amp;Maestra[[#This Row],[Canal]]</f>
        <v>1001735127703202221169Institucional</v>
      </c>
      <c r="B86" s="8" t="s">
        <v>60</v>
      </c>
      <c r="C86" s="3">
        <v>100173512</v>
      </c>
      <c r="D86" s="9" t="s">
        <v>64</v>
      </c>
      <c r="E86" s="8">
        <v>7703202221169</v>
      </c>
      <c r="F86" s="8">
        <v>715503</v>
      </c>
      <c r="G86" s="8">
        <v>391918</v>
      </c>
      <c r="H86" s="9" t="s">
        <v>38</v>
      </c>
    </row>
    <row r="87" spans="1:8" x14ac:dyDescent="0.25">
      <c r="A87" s="3" t="str">
        <f>+Maestra[[#This Row],[SoldTO]]&amp;Maestra[[#This Row],[EAN]]&amp;Maestra[[#This Row],[Canal]]</f>
        <v>1001735127591044007191Institucional</v>
      </c>
      <c r="B87" s="8" t="s">
        <v>60</v>
      </c>
      <c r="C87" s="3">
        <v>100173512</v>
      </c>
      <c r="D87" s="9" t="s">
        <v>64</v>
      </c>
      <c r="E87" s="8">
        <v>7591044007191</v>
      </c>
      <c r="F87" s="8">
        <v>120786</v>
      </c>
      <c r="G87" s="8">
        <v>1267251</v>
      </c>
      <c r="H87" s="9" t="s">
        <v>39</v>
      </c>
    </row>
    <row r="88" spans="1:8" x14ac:dyDescent="0.25">
      <c r="A88" s="3" t="str">
        <f>+Maestra[[#This Row],[SoldTO]]&amp;Maestra[[#This Row],[EAN]]&amp;Maestra[[#This Row],[Canal]]</f>
        <v>1001735127591044009447Institucional</v>
      </c>
      <c r="B88" s="8" t="s">
        <v>60</v>
      </c>
      <c r="C88" s="3">
        <v>100173512</v>
      </c>
      <c r="D88" s="9" t="s">
        <v>64</v>
      </c>
      <c r="E88" s="8">
        <v>7591044009447</v>
      </c>
      <c r="F88" s="8">
        <v>120777</v>
      </c>
      <c r="G88" s="8">
        <v>1267274</v>
      </c>
      <c r="H88" s="9" t="s">
        <v>40</v>
      </c>
    </row>
    <row r="89" spans="1:8" x14ac:dyDescent="0.25">
      <c r="A89" s="3" t="str">
        <f>+Maestra[[#This Row],[SoldTO]]&amp;Maestra[[#This Row],[EAN]]&amp;Maestra[[#This Row],[Canal]]</f>
        <v>1001735127591044008952Institucional</v>
      </c>
      <c r="B89" s="8" t="s">
        <v>60</v>
      </c>
      <c r="C89" s="3">
        <v>100173512</v>
      </c>
      <c r="D89" s="9" t="s">
        <v>64</v>
      </c>
      <c r="E89" s="8">
        <v>7591044008952</v>
      </c>
      <c r="F89" s="8">
        <v>666269</v>
      </c>
      <c r="G89" s="8">
        <v>1166205</v>
      </c>
      <c r="H89" s="9" t="s">
        <v>42</v>
      </c>
    </row>
    <row r="90" spans="1:8" x14ac:dyDescent="0.25">
      <c r="A90" s="3" t="str">
        <f>+Maestra[[#This Row],[SoldTO]]&amp;Maestra[[#This Row],[EAN]]&amp;Maestra[[#This Row],[Canal]]</f>
        <v>1001735127501165007956Institucional</v>
      </c>
      <c r="B90" s="8" t="s">
        <v>60</v>
      </c>
      <c r="C90" s="3">
        <v>100173512</v>
      </c>
      <c r="D90" s="9" t="s">
        <v>64</v>
      </c>
      <c r="E90" s="8">
        <v>7501165007956</v>
      </c>
      <c r="F90" s="8">
        <v>655678</v>
      </c>
      <c r="G90" s="8">
        <v>1271062</v>
      </c>
      <c r="H90" s="9" t="s">
        <v>43</v>
      </c>
    </row>
    <row r="91" spans="1:8" x14ac:dyDescent="0.25">
      <c r="A91" s="3" t="str">
        <f>+Maestra[[#This Row],[SoldTO]]&amp;Maestra[[#This Row],[EAN]]&amp;Maestra[[#This Row],[Canal]]</f>
        <v>1001735127591044401036Institucional</v>
      </c>
      <c r="B91" s="8" t="s">
        <v>60</v>
      </c>
      <c r="C91" s="3">
        <v>100173512</v>
      </c>
      <c r="D91" s="9" t="s">
        <v>64</v>
      </c>
      <c r="E91" s="8">
        <v>7591044401036</v>
      </c>
      <c r="F91" s="8">
        <v>723871</v>
      </c>
      <c r="G91" s="8">
        <v>1267481</v>
      </c>
      <c r="H91" s="9" t="s">
        <v>44</v>
      </c>
    </row>
    <row r="92" spans="1:8" x14ac:dyDescent="0.25">
      <c r="A92" s="3" t="str">
        <f>+Maestra[[#This Row],[SoldTO]]&amp;Maestra[[#This Row],[EAN]]&amp;Maestra[[#This Row],[Canal]]</f>
        <v>1001735127591044009010Institucional</v>
      </c>
      <c r="B92" s="8" t="s">
        <v>60</v>
      </c>
      <c r="C92" s="3">
        <v>100173512</v>
      </c>
      <c r="D92" s="9" t="s">
        <v>64</v>
      </c>
      <c r="E92" s="8">
        <v>7591044009010</v>
      </c>
      <c r="F92" s="8">
        <v>732308</v>
      </c>
      <c r="G92" s="8">
        <v>1166206</v>
      </c>
      <c r="H92" s="9" t="s">
        <v>45</v>
      </c>
    </row>
    <row r="93" spans="1:8" x14ac:dyDescent="0.25">
      <c r="A93" s="3" t="str">
        <f>+Maestra[[#This Row],[SoldTO]]&amp;Maestra[[#This Row],[EAN]]&amp;Maestra[[#This Row],[Canal]]</f>
        <v>1001735127703202010329Institucional</v>
      </c>
      <c r="B93" s="8" t="s">
        <v>60</v>
      </c>
      <c r="C93" s="3">
        <v>100173512</v>
      </c>
      <c r="D93" s="9" t="s">
        <v>64</v>
      </c>
      <c r="E93" s="8">
        <v>7703202010329</v>
      </c>
      <c r="F93" s="8">
        <v>341667</v>
      </c>
      <c r="G93" s="8">
        <v>1270898</v>
      </c>
      <c r="H93" s="9" t="s">
        <v>46</v>
      </c>
    </row>
    <row r="94" spans="1:8" x14ac:dyDescent="0.25">
      <c r="A94" s="3" t="str">
        <f>+Maestra[[#This Row],[SoldTO]]&amp;Maestra[[#This Row],[EAN]]&amp;Maestra[[#This Row],[Canal]]</f>
        <v>1001735127703381002146Institucional</v>
      </c>
      <c r="B94" s="8" t="s">
        <v>60</v>
      </c>
      <c r="C94" s="3">
        <v>100173512</v>
      </c>
      <c r="D94" s="9" t="s">
        <v>64</v>
      </c>
      <c r="E94" s="8">
        <v>7703381002146</v>
      </c>
      <c r="F94" s="8">
        <v>715717</v>
      </c>
      <c r="G94" s="8">
        <v>1261846</v>
      </c>
      <c r="H94" s="9" t="s">
        <v>51</v>
      </c>
    </row>
    <row r="95" spans="1:8" x14ac:dyDescent="0.25">
      <c r="A95" s="3" t="str">
        <f>+Maestra[[#This Row],[SoldTO]]&amp;Maestra[[#This Row],[EAN]]&amp;Maestra[[#This Row],[Canal]]</f>
        <v>1001735127703202221152Institucional</v>
      </c>
      <c r="B95" s="8" t="s">
        <v>60</v>
      </c>
      <c r="C95" s="3">
        <v>100173512</v>
      </c>
      <c r="D95" s="9" t="s">
        <v>64</v>
      </c>
      <c r="E95" s="8">
        <v>7703202221152</v>
      </c>
      <c r="F95" s="8">
        <v>715506</v>
      </c>
      <c r="G95" s="8">
        <v>1284625</v>
      </c>
      <c r="H95" s="9" t="s">
        <v>38</v>
      </c>
    </row>
    <row r="96" spans="1:8" x14ac:dyDescent="0.25">
      <c r="A96" s="3" t="str">
        <f>+Maestra[[#This Row],[SoldTO]]&amp;Maestra[[#This Row],[EAN]]&amp;Maestra[[#This Row],[Canal]]</f>
        <v>1001735127795312100090Institucional</v>
      </c>
      <c r="B96" s="8" t="s">
        <v>60</v>
      </c>
      <c r="C96" s="3">
        <v>100173512</v>
      </c>
      <c r="D96" s="9" t="s">
        <v>64</v>
      </c>
      <c r="E96" s="8">
        <v>7795312100090</v>
      </c>
      <c r="F96" s="8">
        <v>785678</v>
      </c>
      <c r="G96" s="8">
        <v>1260643</v>
      </c>
      <c r="H96" s="9" t="s">
        <v>52</v>
      </c>
    </row>
    <row r="97" spans="1:8" x14ac:dyDescent="0.25">
      <c r="A97" s="3" t="str">
        <f>+Maestra[[#This Row],[SoldTO]]&amp;Maestra[[#This Row],[EAN]]&amp;Maestra[[#This Row],[Canal]]</f>
        <v>1001735127702605107407Institucional</v>
      </c>
      <c r="B97" s="8" t="s">
        <v>60</v>
      </c>
      <c r="C97" s="3">
        <v>100173512</v>
      </c>
      <c r="D97" s="9" t="s">
        <v>64</v>
      </c>
      <c r="E97" s="8">
        <v>7702605107407</v>
      </c>
      <c r="F97" s="8">
        <v>893499</v>
      </c>
      <c r="G97" s="8">
        <v>1251857</v>
      </c>
      <c r="H97" s="9" t="s">
        <v>53</v>
      </c>
    </row>
    <row r="98" spans="1:8" x14ac:dyDescent="0.25">
      <c r="A98" s="3" t="str">
        <f>+Maestra[[#This Row],[SoldTO]]&amp;Maestra[[#This Row],[EAN]]&amp;Maestra[[#This Row],[Canal]]</f>
        <v>1001735127703202221381Institucional</v>
      </c>
      <c r="B98" s="8" t="s">
        <v>60</v>
      </c>
      <c r="C98" s="3">
        <v>100173512</v>
      </c>
      <c r="D98" s="9" t="s">
        <v>64</v>
      </c>
      <c r="E98" s="8">
        <v>7703202221381</v>
      </c>
      <c r="F98" s="8">
        <v>782089</v>
      </c>
      <c r="G98" s="8">
        <v>1289603</v>
      </c>
      <c r="H98" s="9" t="s">
        <v>54</v>
      </c>
    </row>
    <row r="99" spans="1:8" x14ac:dyDescent="0.25">
      <c r="A99" s="3" t="str">
        <f>+Maestra[[#This Row],[SoldTO]]&amp;Maestra[[#This Row],[EAN]]&amp;Maestra[[#This Row],[Canal]]</f>
        <v>1001735127703202221428Institucional</v>
      </c>
      <c r="B99" s="8" t="s">
        <v>60</v>
      </c>
      <c r="C99" s="3">
        <v>100173512</v>
      </c>
      <c r="D99" s="9" t="s">
        <v>64</v>
      </c>
      <c r="E99" s="8">
        <v>7703202221428</v>
      </c>
      <c r="F99" s="8">
        <v>782090</v>
      </c>
      <c r="G99" s="8">
        <v>1271562</v>
      </c>
      <c r="H99" s="9" t="s">
        <v>55</v>
      </c>
    </row>
    <row r="100" spans="1:8" x14ac:dyDescent="0.25">
      <c r="A100" s="3" t="str">
        <f>+Maestra[[#This Row],[SoldTO]]&amp;Maestra[[#This Row],[EAN]]&amp;Maestra[[#This Row],[Canal]]</f>
        <v>1001735127702771001561Institucional</v>
      </c>
      <c r="B100" s="8" t="s">
        <v>60</v>
      </c>
      <c r="C100" s="3">
        <v>100173512</v>
      </c>
      <c r="D100" s="9" t="s">
        <v>64</v>
      </c>
      <c r="E100" s="8">
        <v>7702771001561</v>
      </c>
      <c r="F100" s="8">
        <v>873239</v>
      </c>
      <c r="G100" s="8">
        <v>1270904</v>
      </c>
      <c r="H100" s="9" t="s">
        <v>56</v>
      </c>
    </row>
    <row r="101" spans="1:8" x14ac:dyDescent="0.25">
      <c r="A101" s="3" t="str">
        <f>+Maestra[[#This Row],[SoldTO]]&amp;Maestra[[#This Row],[EAN]]&amp;Maestra[[#This Row],[Canal]]</f>
        <v>1001735127703202221282Institucional</v>
      </c>
      <c r="B101" s="8" t="s">
        <v>60</v>
      </c>
      <c r="C101" s="3">
        <v>100173512</v>
      </c>
      <c r="D101" s="9" t="s">
        <v>64</v>
      </c>
      <c r="E101" s="8">
        <v>7703202221282</v>
      </c>
      <c r="F101" s="8">
        <v>782085</v>
      </c>
      <c r="G101" s="8">
        <v>1276014</v>
      </c>
      <c r="H101" s="9" t="s">
        <v>58</v>
      </c>
    </row>
    <row r="102" spans="1:8" x14ac:dyDescent="0.25">
      <c r="A102" s="3" t="str">
        <f>+Maestra[[#This Row],[SoldTO]]&amp;Maestra[[#This Row],[EAN]]&amp;Maestra[[#This Row],[Canal]]</f>
        <v>1001735123582910009900Institucional</v>
      </c>
      <c r="B102" s="3" t="s">
        <v>60</v>
      </c>
      <c r="C102" s="3">
        <v>100173512</v>
      </c>
      <c r="D102" s="5" t="s">
        <v>64</v>
      </c>
      <c r="E102" s="3">
        <v>3582910009900</v>
      </c>
      <c r="F102" s="3">
        <v>873229</v>
      </c>
      <c r="G102" s="5">
        <v>1165164</v>
      </c>
      <c r="H102" s="5" t="s">
        <v>49</v>
      </c>
    </row>
    <row r="103" spans="1:8" x14ac:dyDescent="0.25">
      <c r="A103" s="3" t="str">
        <f>+Maestra[[#This Row],[SoldTO]]&amp;Maestra[[#This Row],[EAN]]&amp;Maestra[[#This Row],[Canal]]</f>
        <v>1001735097591044008952Retail</v>
      </c>
      <c r="B103" s="3" t="s">
        <v>176</v>
      </c>
      <c r="C103" s="3">
        <v>100173509</v>
      </c>
      <c r="D103" s="5" t="s">
        <v>9</v>
      </c>
      <c r="E103" s="3">
        <v>7591044008952</v>
      </c>
      <c r="F103" s="3">
        <v>666269</v>
      </c>
      <c r="G103" s="5">
        <v>119410</v>
      </c>
      <c r="H103" s="5" t="s">
        <v>177</v>
      </c>
    </row>
    <row r="104" spans="1:8" x14ac:dyDescent="0.25">
      <c r="A104" s="3" t="str">
        <f>+Maestra[[#This Row],[SoldTO]]&amp;Maestra[[#This Row],[EAN]]&amp;Maestra[[#This Row],[Canal]]</f>
        <v>1001735097591044009010Retail</v>
      </c>
      <c r="B104" s="3" t="s">
        <v>176</v>
      </c>
      <c r="C104" s="3">
        <v>100173509</v>
      </c>
      <c r="D104" s="5" t="s">
        <v>9</v>
      </c>
      <c r="E104" s="3">
        <v>7591044009010</v>
      </c>
      <c r="F104" s="3">
        <v>732308</v>
      </c>
      <c r="G104" s="5">
        <v>121499</v>
      </c>
      <c r="H104" s="5" t="s">
        <v>178</v>
      </c>
    </row>
    <row r="105" spans="1:8" x14ac:dyDescent="0.25">
      <c r="A105" s="3" t="str">
        <f>+Maestra[[#This Row],[SoldTO]]&amp;Maestra[[#This Row],[EAN]]&amp;Maestra[[#This Row],[Canal]]</f>
        <v>1001735097703202010329Retail</v>
      </c>
      <c r="B105" s="3" t="s">
        <v>176</v>
      </c>
      <c r="C105" s="3">
        <v>100173509</v>
      </c>
      <c r="D105" s="5" t="s">
        <v>9</v>
      </c>
      <c r="E105" s="3">
        <v>7703202010329</v>
      </c>
      <c r="F105" s="3">
        <v>341667</v>
      </c>
      <c r="G105" s="5">
        <v>121485</v>
      </c>
      <c r="H105" s="5" t="s">
        <v>179</v>
      </c>
    </row>
    <row r="106" spans="1:8" x14ac:dyDescent="0.25">
      <c r="A106" s="3" t="str">
        <f>+Maestra[[#This Row],[SoldTO]]&amp;Maestra[[#This Row],[EAN]]&amp;Maestra[[#This Row],[Canal]]</f>
        <v>1001735097795312100090Retail</v>
      </c>
      <c r="B106" s="3" t="s">
        <v>176</v>
      </c>
      <c r="C106" s="3">
        <v>100173509</v>
      </c>
      <c r="D106" s="5" t="s">
        <v>9</v>
      </c>
      <c r="E106" s="3">
        <v>7795312100090</v>
      </c>
      <c r="F106" s="3">
        <v>785678</v>
      </c>
      <c r="G106" s="5">
        <v>121486</v>
      </c>
      <c r="H106" s="5" t="s">
        <v>180</v>
      </c>
    </row>
    <row r="107" spans="1:8" x14ac:dyDescent="0.25">
      <c r="A107" s="3" t="str">
        <f>+Maestra[[#This Row],[SoldTO]]&amp;Maestra[[#This Row],[EAN]]&amp;Maestra[[#This Row],[Canal]]</f>
        <v>1001735097703202221220Retail</v>
      </c>
      <c r="B107" s="3" t="s">
        <v>176</v>
      </c>
      <c r="C107" s="3">
        <v>100173509</v>
      </c>
      <c r="D107" s="5" t="s">
        <v>9</v>
      </c>
      <c r="E107" s="3">
        <v>7703202221220</v>
      </c>
      <c r="F107" s="3">
        <v>781955</v>
      </c>
      <c r="G107" s="5">
        <v>21427</v>
      </c>
      <c r="H107" s="5" t="s">
        <v>181</v>
      </c>
    </row>
    <row r="108" spans="1:8" x14ac:dyDescent="0.25">
      <c r="A108" s="3" t="str">
        <f>+Maestra[[#This Row],[SoldTO]]&amp;Maestra[[#This Row],[EAN]]&amp;Maestra[[#This Row],[Canal]]</f>
        <v>1001735097703202221428Retail</v>
      </c>
      <c r="B108" s="3" t="s">
        <v>176</v>
      </c>
      <c r="C108" s="3">
        <v>100173509</v>
      </c>
      <c r="D108" s="5" t="s">
        <v>9</v>
      </c>
      <c r="E108" s="3">
        <v>7703202221428</v>
      </c>
      <c r="F108" s="3">
        <v>782090</v>
      </c>
      <c r="G108" s="5">
        <v>120906</v>
      </c>
      <c r="H108" s="5" t="s">
        <v>182</v>
      </c>
    </row>
    <row r="109" spans="1:8" x14ac:dyDescent="0.25">
      <c r="A109" s="3" t="str">
        <f>+Maestra[[#This Row],[SoldTO]]&amp;Maestra[[#This Row],[EAN]]&amp;Maestra[[#This Row],[Canal]]</f>
        <v>1001735097703202221381Retail</v>
      </c>
      <c r="B109" s="3" t="s">
        <v>176</v>
      </c>
      <c r="C109" s="3">
        <v>100173509</v>
      </c>
      <c r="D109" s="5" t="s">
        <v>9</v>
      </c>
      <c r="E109" s="3">
        <v>7703202221381</v>
      </c>
      <c r="F109" s="3">
        <v>782089</v>
      </c>
      <c r="G109" s="5">
        <v>120908</v>
      </c>
      <c r="H109" s="5" t="s">
        <v>183</v>
      </c>
    </row>
    <row r="110" spans="1:8" x14ac:dyDescent="0.25">
      <c r="A110" s="3" t="str">
        <f>+Maestra[[#This Row],[SoldTO]]&amp;Maestra[[#This Row],[EAN]]&amp;Maestra[[#This Row],[Canal]]</f>
        <v>1001735093664798064728Retail</v>
      </c>
      <c r="B110" s="3" t="s">
        <v>176</v>
      </c>
      <c r="C110" s="3">
        <v>100173509</v>
      </c>
      <c r="D110" s="5" t="s">
        <v>9</v>
      </c>
      <c r="E110" s="3">
        <v>3664798064728</v>
      </c>
      <c r="F110" s="3">
        <v>846778</v>
      </c>
      <c r="G110" s="5">
        <v>561351</v>
      </c>
      <c r="H110" s="5" t="s">
        <v>184</v>
      </c>
    </row>
    <row r="111" spans="1:8" x14ac:dyDescent="0.25">
      <c r="A111" s="3" t="str">
        <f>+Maestra[[#This Row],[SoldTO]]&amp;Maestra[[#This Row],[EAN]]&amp;Maestra[[#This Row],[Canal]]</f>
        <v>1001735097703202221244Retail</v>
      </c>
      <c r="B111" s="3" t="s">
        <v>176</v>
      </c>
      <c r="C111" s="3">
        <v>100173509</v>
      </c>
      <c r="D111" s="5" t="s">
        <v>9</v>
      </c>
      <c r="E111" s="3">
        <v>7703202221244</v>
      </c>
      <c r="F111" s="3">
        <v>782065</v>
      </c>
      <c r="G111" s="5">
        <v>20134</v>
      </c>
      <c r="H111" s="5" t="s">
        <v>185</v>
      </c>
    </row>
    <row r="112" spans="1:8" x14ac:dyDescent="0.25">
      <c r="A112" s="3" t="str">
        <f>+Maestra[[#This Row],[SoldTO]]&amp;Maestra[[#This Row],[EAN]]&amp;Maestra[[#This Row],[Canal]]</f>
        <v>1001735097703202221091Retail</v>
      </c>
      <c r="B112" s="3" t="s">
        <v>176</v>
      </c>
      <c r="C112" s="3">
        <v>100173509</v>
      </c>
      <c r="D112" s="5" t="s">
        <v>9</v>
      </c>
      <c r="E112" s="3">
        <v>7703202221091</v>
      </c>
      <c r="F112" s="3">
        <v>797130</v>
      </c>
      <c r="G112" s="5">
        <v>20131</v>
      </c>
      <c r="H112" s="5" t="s">
        <v>186</v>
      </c>
    </row>
    <row r="113" spans="1:8" x14ac:dyDescent="0.25">
      <c r="A113" s="3" t="str">
        <f>+Maestra[[#This Row],[SoldTO]]&amp;Maestra[[#This Row],[EAN]]&amp;Maestra[[#This Row],[Canal]]</f>
        <v>1001735097703202221305Retail</v>
      </c>
      <c r="B113" s="3" t="s">
        <v>176</v>
      </c>
      <c r="C113" s="3">
        <v>100173509</v>
      </c>
      <c r="D113" s="5" t="s">
        <v>9</v>
      </c>
      <c r="E113" s="3">
        <v>7703202221305</v>
      </c>
      <c r="F113" s="3">
        <v>782086</v>
      </c>
      <c r="G113" s="5">
        <v>20164</v>
      </c>
      <c r="H113" s="5" t="s">
        <v>187</v>
      </c>
    </row>
    <row r="114" spans="1:8" x14ac:dyDescent="0.25">
      <c r="A114" s="3" t="str">
        <f>+Maestra[[#This Row],[SoldTO]]&amp;Maestra[[#This Row],[EAN]]&amp;Maestra[[#This Row],[Canal]]</f>
        <v>1001735097703202221336Retail</v>
      </c>
      <c r="B114" s="3" t="s">
        <v>176</v>
      </c>
      <c r="C114" s="3">
        <v>100173509</v>
      </c>
      <c r="D114" s="5" t="s">
        <v>9</v>
      </c>
      <c r="E114" s="3">
        <v>7703202221336</v>
      </c>
      <c r="F114" s="3">
        <v>782093</v>
      </c>
      <c r="G114" s="5">
        <v>157863</v>
      </c>
      <c r="H114" s="5" t="s">
        <v>188</v>
      </c>
    </row>
    <row r="115" spans="1:8" x14ac:dyDescent="0.25">
      <c r="A115" s="3" t="str">
        <f>+Maestra[[#This Row],[SoldTO]]&amp;Maestra[[#This Row],[EAN]]&amp;Maestra[[#This Row],[Canal]]</f>
        <v>1001735097703202221312Retail</v>
      </c>
      <c r="B115" s="3" t="s">
        <v>176</v>
      </c>
      <c r="C115" s="3">
        <v>100173509</v>
      </c>
      <c r="D115" s="5" t="s">
        <v>9</v>
      </c>
      <c r="E115" s="3">
        <v>7703202221312</v>
      </c>
      <c r="F115" s="3">
        <v>782091</v>
      </c>
      <c r="G115" s="5">
        <v>20115</v>
      </c>
      <c r="H115" s="5" t="s">
        <v>189</v>
      </c>
    </row>
    <row r="116" spans="1:8" x14ac:dyDescent="0.25">
      <c r="A116" s="3" t="str">
        <f>+Maestra[[#This Row],[SoldTO]]&amp;Maestra[[#This Row],[EAN]]&amp;Maestra[[#This Row],[Canal]]</f>
        <v>1001735097703202221329Retail</v>
      </c>
      <c r="B116" s="3" t="s">
        <v>176</v>
      </c>
      <c r="C116" s="3">
        <v>100173509</v>
      </c>
      <c r="D116" s="5" t="s">
        <v>9</v>
      </c>
      <c r="E116" s="3">
        <v>7703202221329</v>
      </c>
      <c r="F116" s="3">
        <v>782092</v>
      </c>
      <c r="G116" s="5">
        <v>159030</v>
      </c>
      <c r="H116" s="5" t="s">
        <v>190</v>
      </c>
    </row>
    <row r="117" spans="1:8" x14ac:dyDescent="0.25">
      <c r="A117" s="3" t="str">
        <f>+Maestra[[#This Row],[SoldTO]]&amp;Maestra[[#This Row],[EAN]]&amp;Maestra[[#This Row],[Canal]]</f>
        <v>1001735097703202221275Retail</v>
      </c>
      <c r="B117" s="3" t="s">
        <v>176</v>
      </c>
      <c r="C117" s="3">
        <v>100173509</v>
      </c>
      <c r="D117" s="5" t="s">
        <v>9</v>
      </c>
      <c r="E117" s="3">
        <v>7703202221275</v>
      </c>
      <c r="F117" s="3">
        <v>782074</v>
      </c>
      <c r="G117" s="5">
        <v>54448</v>
      </c>
      <c r="H117" s="5" t="s">
        <v>191</v>
      </c>
    </row>
    <row r="118" spans="1:8" x14ac:dyDescent="0.25">
      <c r="A118" s="3" t="str">
        <f>+Maestra[[#This Row],[SoldTO]]&amp;Maestra[[#This Row],[EAN]]&amp;Maestra[[#This Row],[Canal]]</f>
        <v>1001735097703202221282Retail</v>
      </c>
      <c r="B118" s="3" t="s">
        <v>176</v>
      </c>
      <c r="C118" s="3">
        <v>100173509</v>
      </c>
      <c r="D118" s="5" t="s">
        <v>9</v>
      </c>
      <c r="E118" s="3">
        <v>7703202221282</v>
      </c>
      <c r="F118" s="3">
        <v>782085</v>
      </c>
      <c r="G118" s="5">
        <v>66022</v>
      </c>
      <c r="H118" s="5" t="s">
        <v>192</v>
      </c>
    </row>
    <row r="119" spans="1:8" x14ac:dyDescent="0.25">
      <c r="A119" s="3" t="str">
        <f>+Maestra[[#This Row],[SoldTO]]&amp;Maestra[[#This Row],[EAN]]&amp;Maestra[[#This Row],[Canal]]</f>
        <v>1001735097703202221169Retail</v>
      </c>
      <c r="B119" s="3" t="s">
        <v>176</v>
      </c>
      <c r="C119" s="3">
        <v>100173509</v>
      </c>
      <c r="D119" s="5" t="s">
        <v>9</v>
      </c>
      <c r="E119" s="3">
        <v>7703202221169</v>
      </c>
      <c r="F119" s="3">
        <v>715503</v>
      </c>
      <c r="G119" s="5">
        <v>20258</v>
      </c>
      <c r="H119" s="5" t="s">
        <v>193</v>
      </c>
    </row>
    <row r="120" spans="1:8" x14ac:dyDescent="0.25">
      <c r="A120" s="3" t="str">
        <f>+Maestra[[#This Row],[SoldTO]]&amp;Maestra[[#This Row],[EAN]]&amp;Maestra[[#This Row],[Canal]]</f>
        <v>1001735097703202221152Retail</v>
      </c>
      <c r="B120" s="3" t="s">
        <v>176</v>
      </c>
      <c r="C120" s="3">
        <v>100173509</v>
      </c>
      <c r="D120" s="5" t="s">
        <v>9</v>
      </c>
      <c r="E120" s="3">
        <v>7703202221152</v>
      </c>
      <c r="F120" s="3">
        <v>715506</v>
      </c>
      <c r="G120" s="5">
        <v>71766</v>
      </c>
      <c r="H120" s="5" t="s">
        <v>194</v>
      </c>
    </row>
    <row r="121" spans="1:8" x14ac:dyDescent="0.25">
      <c r="A121" s="3" t="str">
        <f>+Maestra[[#This Row],[SoldTO]]&amp;Maestra[[#This Row],[EAN]]&amp;Maestra[[#This Row],[Canal]]</f>
        <v>1001735097703202221176Retail</v>
      </c>
      <c r="B121" s="3" t="s">
        <v>176</v>
      </c>
      <c r="C121" s="3">
        <v>100173509</v>
      </c>
      <c r="D121" s="5" t="s">
        <v>9</v>
      </c>
      <c r="E121" s="3">
        <v>7703202221176</v>
      </c>
      <c r="F121" s="3">
        <v>715717</v>
      </c>
      <c r="G121" s="5">
        <v>63380</v>
      </c>
      <c r="H121" s="5" t="s">
        <v>195</v>
      </c>
    </row>
    <row r="122" spans="1:8" x14ac:dyDescent="0.25">
      <c r="A122" s="3" t="str">
        <f>+Maestra[[#This Row],[SoldTO]]&amp;Maestra[[#This Row],[EAN]]&amp;Maestra[[#This Row],[Canal]]</f>
        <v>1001735093664798069211Retail</v>
      </c>
      <c r="B122" s="3" t="s">
        <v>176</v>
      </c>
      <c r="C122" s="3">
        <v>100173509</v>
      </c>
      <c r="D122" s="5" t="s">
        <v>9</v>
      </c>
      <c r="E122" s="3">
        <v>3664798069211</v>
      </c>
      <c r="F122" s="3">
        <v>715717</v>
      </c>
      <c r="G122" s="5">
        <v>63380</v>
      </c>
      <c r="H122" s="5" t="s">
        <v>195</v>
      </c>
    </row>
    <row r="123" spans="1:8" x14ac:dyDescent="0.25">
      <c r="A123" s="3" t="str">
        <f>+Maestra[[#This Row],[SoldTO]]&amp;Maestra[[#This Row],[EAN]]&amp;Maestra[[#This Row],[Canal]]</f>
        <v>1001735093582910009900Retail</v>
      </c>
      <c r="B123" s="3" t="s">
        <v>176</v>
      </c>
      <c r="C123" s="3">
        <v>100173509</v>
      </c>
      <c r="D123" s="5" t="s">
        <v>9</v>
      </c>
      <c r="E123" s="3">
        <v>3582910009900</v>
      </c>
      <c r="F123" s="3">
        <v>873229</v>
      </c>
      <c r="G123" s="5">
        <v>121505</v>
      </c>
      <c r="H123" s="5" t="s">
        <v>196</v>
      </c>
    </row>
    <row r="124" spans="1:8" x14ac:dyDescent="0.25">
      <c r="A124" s="3" t="str">
        <f>+Maestra[[#This Row],[SoldTO]]&amp;Maestra[[#This Row],[EAN]]&amp;Maestra[[#This Row],[Canal]]</f>
        <v>1001735097702771001561Retail</v>
      </c>
      <c r="B124" s="3" t="s">
        <v>176</v>
      </c>
      <c r="C124" s="3">
        <v>100173509</v>
      </c>
      <c r="D124" s="5" t="s">
        <v>9</v>
      </c>
      <c r="E124" s="3">
        <v>7702771001561</v>
      </c>
      <c r="F124" s="3">
        <v>873239</v>
      </c>
      <c r="G124" s="5">
        <v>129907</v>
      </c>
      <c r="H124" s="5" t="s">
        <v>197</v>
      </c>
    </row>
    <row r="125" spans="1:8" x14ac:dyDescent="0.25">
      <c r="A125" s="3" t="str">
        <f>+Maestra[[#This Row],[SoldTO]]&amp;Maestra[[#This Row],[EAN]]&amp;Maestra[[#This Row],[Canal]]</f>
        <v>1001735097501165007956Retail</v>
      </c>
      <c r="B125" s="3" t="s">
        <v>176</v>
      </c>
      <c r="C125" s="3">
        <v>100173509</v>
      </c>
      <c r="D125" s="5" t="s">
        <v>9</v>
      </c>
      <c r="E125" s="3">
        <v>7501165007956</v>
      </c>
      <c r="F125" s="3">
        <v>655678</v>
      </c>
      <c r="G125" s="5">
        <v>114460</v>
      </c>
      <c r="H125" s="5" t="s">
        <v>198</v>
      </c>
    </row>
    <row r="126" spans="1:8" x14ac:dyDescent="0.25">
      <c r="A126" s="3" t="str">
        <f>+Maestra[[#This Row],[SoldTO]]&amp;Maestra[[#This Row],[EAN]]&amp;Maestra[[#This Row],[Canal]]</f>
        <v>1001735097703202003475Retail</v>
      </c>
      <c r="B126" s="3" t="s">
        <v>176</v>
      </c>
      <c r="C126" s="3">
        <v>100173509</v>
      </c>
      <c r="D126" s="5" t="s">
        <v>9</v>
      </c>
      <c r="E126" s="3">
        <v>7703202003475</v>
      </c>
      <c r="F126" s="3">
        <v>650554</v>
      </c>
      <c r="G126" s="5">
        <v>145558</v>
      </c>
      <c r="H126" s="5" t="s">
        <v>199</v>
      </c>
    </row>
    <row r="127" spans="1:8" x14ac:dyDescent="0.25">
      <c r="A127" s="3" t="str">
        <f>+Maestra[[#This Row],[SoldTO]]&amp;Maestra[[#This Row],[EAN]]&amp;Maestra[[#This Row],[Canal]]</f>
        <v>1001735097703202221800Retail</v>
      </c>
      <c r="B127" s="3" t="s">
        <v>176</v>
      </c>
      <c r="C127" s="3">
        <v>100173509</v>
      </c>
      <c r="D127" s="5" t="s">
        <v>9</v>
      </c>
      <c r="E127" s="3">
        <v>7703202221800</v>
      </c>
      <c r="F127" s="3">
        <v>893499</v>
      </c>
      <c r="G127" s="5">
        <v>97353</v>
      </c>
      <c r="H127" s="5" t="s">
        <v>200</v>
      </c>
    </row>
    <row r="128" spans="1:8" x14ac:dyDescent="0.25">
      <c r="A128" s="3" t="str">
        <f>+Maestra[[#This Row],[SoldTO]]&amp;Maestra[[#This Row],[EAN]]&amp;Maestra[[#This Row],[Canal]]</f>
        <v>1001735097591044401036Retail</v>
      </c>
      <c r="B128" s="3" t="s">
        <v>176</v>
      </c>
      <c r="C128" s="3">
        <v>100173509</v>
      </c>
      <c r="D128" s="5" t="s">
        <v>9</v>
      </c>
      <c r="E128" s="3">
        <v>7591044401036</v>
      </c>
      <c r="F128" s="3">
        <v>723871</v>
      </c>
      <c r="G128" s="5">
        <v>21450</v>
      </c>
      <c r="H128" s="5" t="s">
        <v>201</v>
      </c>
    </row>
    <row r="129" spans="1:8" x14ac:dyDescent="0.25">
      <c r="A129" s="3" t="str">
        <f>+Maestra[[#This Row],[SoldTO]]&amp;Maestra[[#This Row],[EAN]]&amp;Maestra[[#This Row],[Canal]]</f>
        <v>1001735097501165010444Retail</v>
      </c>
      <c r="B129" s="3" t="s">
        <v>176</v>
      </c>
      <c r="C129" s="3">
        <v>100173509</v>
      </c>
      <c r="D129" s="5" t="s">
        <v>9</v>
      </c>
      <c r="E129" s="3">
        <v>7501165010444</v>
      </c>
      <c r="F129" s="3">
        <v>600723</v>
      </c>
      <c r="G129" s="5">
        <v>141268</v>
      </c>
      <c r="H129" s="5" t="s">
        <v>202</v>
      </c>
    </row>
    <row r="130" spans="1:8" x14ac:dyDescent="0.25">
      <c r="A130" s="3" t="str">
        <f>+Maestra[[#This Row],[SoldTO]]&amp;Maestra[[#This Row],[EAN]]&amp;Maestra[[#This Row],[Canal]]</f>
        <v>1001735097591044009447Retail</v>
      </c>
      <c r="B130" s="3" t="s">
        <v>176</v>
      </c>
      <c r="C130" s="3">
        <v>100173509</v>
      </c>
      <c r="D130" s="5" t="s">
        <v>9</v>
      </c>
      <c r="E130" s="3">
        <v>7591044009447</v>
      </c>
      <c r="F130" s="3">
        <v>120777</v>
      </c>
      <c r="G130" s="5">
        <v>21714</v>
      </c>
      <c r="H130" s="5" t="s">
        <v>203</v>
      </c>
    </row>
    <row r="131" spans="1:8" x14ac:dyDescent="0.25">
      <c r="A131" s="3" t="str">
        <f>+Maestra[[#This Row],[SoldTO]]&amp;Maestra[[#This Row],[EAN]]&amp;Maestra[[#This Row],[Canal]]</f>
        <v>1001735097591044007191Retail</v>
      </c>
      <c r="B131" s="3" t="s">
        <v>176</v>
      </c>
      <c r="C131" s="3">
        <v>100173509</v>
      </c>
      <c r="D131" s="5" t="s">
        <v>9</v>
      </c>
      <c r="E131" s="3">
        <v>7591044007191</v>
      </c>
      <c r="F131" s="3">
        <v>120786</v>
      </c>
      <c r="G131" s="5">
        <v>21716</v>
      </c>
      <c r="H131" s="5" t="s">
        <v>204</v>
      </c>
    </row>
    <row r="132" spans="1:8" x14ac:dyDescent="0.25">
      <c r="A132" s="3" t="str">
        <f>+Maestra[[#This Row],[SoldTO]]&amp;Maestra[[#This Row],[EAN]]&amp;Maestra[[#This Row],[Canal]]</f>
        <v>1001735097591044008952Institucional</v>
      </c>
      <c r="B132" s="3" t="s">
        <v>176</v>
      </c>
      <c r="C132" s="3">
        <v>100173509</v>
      </c>
      <c r="D132" s="5" t="s">
        <v>64</v>
      </c>
      <c r="E132" s="3">
        <v>7591044008952</v>
      </c>
      <c r="F132" s="3">
        <v>666269</v>
      </c>
      <c r="G132" s="5">
        <v>78565</v>
      </c>
      <c r="H132" s="5" t="s">
        <v>205</v>
      </c>
    </row>
    <row r="133" spans="1:8" x14ac:dyDescent="0.25">
      <c r="A133" s="3" t="str">
        <f>+Maestra[[#This Row],[SoldTO]]&amp;Maestra[[#This Row],[EAN]]&amp;Maestra[[#This Row],[Canal]]</f>
        <v>1001735097591044009010Institucional</v>
      </c>
      <c r="B133" s="3" t="s">
        <v>176</v>
      </c>
      <c r="C133" s="3">
        <v>100173509</v>
      </c>
      <c r="D133" s="5" t="s">
        <v>64</v>
      </c>
      <c r="E133" s="3">
        <v>7591044009010</v>
      </c>
      <c r="F133" s="3">
        <v>732308</v>
      </c>
      <c r="G133" s="5">
        <v>78566</v>
      </c>
      <c r="H133" s="5" t="s">
        <v>206</v>
      </c>
    </row>
    <row r="134" spans="1:8" x14ac:dyDescent="0.25">
      <c r="A134" s="3" t="str">
        <f>+Maestra[[#This Row],[SoldTO]]&amp;Maestra[[#This Row],[EAN]]&amp;Maestra[[#This Row],[Canal]]</f>
        <v>1001735097703202010329Institucional</v>
      </c>
      <c r="B134" s="3" t="s">
        <v>176</v>
      </c>
      <c r="C134" s="3">
        <v>100173509</v>
      </c>
      <c r="D134" s="5" t="s">
        <v>64</v>
      </c>
      <c r="E134" s="3">
        <v>7703202010329</v>
      </c>
      <c r="F134" s="3">
        <v>341667</v>
      </c>
      <c r="G134" s="5">
        <v>84742</v>
      </c>
      <c r="H134" s="5" t="s">
        <v>207</v>
      </c>
    </row>
    <row r="135" spans="1:8" x14ac:dyDescent="0.25">
      <c r="A135" s="3" t="str">
        <f>+Maestra[[#This Row],[SoldTO]]&amp;Maestra[[#This Row],[EAN]]&amp;Maestra[[#This Row],[Canal]]</f>
        <v>1001735097795312100090Institucional</v>
      </c>
      <c r="B135" s="3" t="s">
        <v>176</v>
      </c>
      <c r="C135" s="3">
        <v>100173509</v>
      </c>
      <c r="D135" s="5" t="s">
        <v>64</v>
      </c>
      <c r="E135" s="3">
        <v>7795312100090</v>
      </c>
      <c r="F135" s="3">
        <v>785678</v>
      </c>
      <c r="G135" s="5">
        <v>80460</v>
      </c>
      <c r="H135" s="5" t="s">
        <v>208</v>
      </c>
    </row>
    <row r="136" spans="1:8" x14ac:dyDescent="0.25">
      <c r="A136" s="3" t="str">
        <f>+Maestra[[#This Row],[SoldTO]]&amp;Maestra[[#This Row],[EAN]]&amp;Maestra[[#This Row],[Canal]]</f>
        <v>1001735097703202221428Institucional</v>
      </c>
      <c r="B136" s="3" t="s">
        <v>176</v>
      </c>
      <c r="C136" s="3">
        <v>100173509</v>
      </c>
      <c r="D136" s="5" t="s">
        <v>64</v>
      </c>
      <c r="E136" s="3">
        <v>7703202221428</v>
      </c>
      <c r="F136" s="3">
        <v>782090</v>
      </c>
      <c r="G136" s="5">
        <v>144732</v>
      </c>
      <c r="H136" s="5" t="s">
        <v>209</v>
      </c>
    </row>
    <row r="137" spans="1:8" x14ac:dyDescent="0.25">
      <c r="A137" s="3" t="str">
        <f>+Maestra[[#This Row],[SoldTO]]&amp;Maestra[[#This Row],[EAN]]&amp;Maestra[[#This Row],[Canal]]</f>
        <v>1001735097703202221381Institucional</v>
      </c>
      <c r="B137" s="3" t="s">
        <v>176</v>
      </c>
      <c r="C137" s="3">
        <v>100173509</v>
      </c>
      <c r="D137" s="5" t="s">
        <v>64</v>
      </c>
      <c r="E137" s="3">
        <v>7703202221381</v>
      </c>
      <c r="F137" s="3">
        <v>782089</v>
      </c>
      <c r="G137" s="5">
        <v>144638</v>
      </c>
      <c r="H137" s="5" t="s">
        <v>210</v>
      </c>
    </row>
    <row r="138" spans="1:8" x14ac:dyDescent="0.25">
      <c r="A138" s="3" t="str">
        <f>+Maestra[[#This Row],[SoldTO]]&amp;Maestra[[#This Row],[EAN]]&amp;Maestra[[#This Row],[Canal]]</f>
        <v>1001735097703202221244Institucional</v>
      </c>
      <c r="B138" s="3" t="s">
        <v>176</v>
      </c>
      <c r="C138" s="3">
        <v>100173509</v>
      </c>
      <c r="D138" s="5" t="s">
        <v>64</v>
      </c>
      <c r="E138" s="3">
        <v>7703202221244</v>
      </c>
      <c r="F138" s="3">
        <v>782065</v>
      </c>
      <c r="G138" s="5">
        <v>156861</v>
      </c>
      <c r="H138" s="5" t="s">
        <v>211</v>
      </c>
    </row>
    <row r="139" spans="1:8" x14ac:dyDescent="0.25">
      <c r="A139" s="3" t="str">
        <f>+Maestra[[#This Row],[SoldTO]]&amp;Maestra[[#This Row],[EAN]]&amp;Maestra[[#This Row],[Canal]]</f>
        <v>1001735097703202221091Institucional</v>
      </c>
      <c r="B139" s="3" t="s">
        <v>176</v>
      </c>
      <c r="C139" s="3">
        <v>100173509</v>
      </c>
      <c r="D139" s="5" t="s">
        <v>64</v>
      </c>
      <c r="E139" s="3">
        <v>7703202221091</v>
      </c>
      <c r="F139" s="3">
        <v>797130</v>
      </c>
      <c r="G139" s="5">
        <v>51294</v>
      </c>
      <c r="H139" s="5" t="s">
        <v>212</v>
      </c>
    </row>
    <row r="140" spans="1:8" x14ac:dyDescent="0.25">
      <c r="A140" s="3" t="str">
        <f>+Maestra[[#This Row],[SoldTO]]&amp;Maestra[[#This Row],[EAN]]&amp;Maestra[[#This Row],[Canal]]</f>
        <v>1001735097703202221312Institucional</v>
      </c>
      <c r="B140" s="3" t="s">
        <v>176</v>
      </c>
      <c r="C140" s="3">
        <v>100173509</v>
      </c>
      <c r="D140" s="5" t="s">
        <v>64</v>
      </c>
      <c r="E140" s="3">
        <v>7703202221312</v>
      </c>
      <c r="F140" s="3">
        <v>782091</v>
      </c>
      <c r="G140" s="5">
        <v>158353</v>
      </c>
      <c r="H140" s="5" t="s">
        <v>213</v>
      </c>
    </row>
    <row r="141" spans="1:8" x14ac:dyDescent="0.25">
      <c r="A141" s="3" t="str">
        <f>+Maestra[[#This Row],[SoldTO]]&amp;Maestra[[#This Row],[EAN]]&amp;Maestra[[#This Row],[Canal]]</f>
        <v>1001735097703202221305Institucional</v>
      </c>
      <c r="B141" s="3" t="s">
        <v>176</v>
      </c>
      <c r="C141" s="3">
        <v>100173509</v>
      </c>
      <c r="D141" s="5" t="s">
        <v>64</v>
      </c>
      <c r="E141" s="3">
        <v>7703202221305</v>
      </c>
      <c r="F141" s="3">
        <v>782086</v>
      </c>
      <c r="G141" s="5">
        <v>145615</v>
      </c>
      <c r="H141" s="5" t="s">
        <v>214</v>
      </c>
    </row>
    <row r="142" spans="1:8" x14ac:dyDescent="0.25">
      <c r="A142" s="3" t="str">
        <f>+Maestra[[#This Row],[SoldTO]]&amp;Maestra[[#This Row],[EAN]]&amp;Maestra[[#This Row],[Canal]]</f>
        <v>1001735097703202221275Institucional</v>
      </c>
      <c r="B142" s="3" t="s">
        <v>176</v>
      </c>
      <c r="C142" s="3">
        <v>100173509</v>
      </c>
      <c r="D142" s="5" t="s">
        <v>64</v>
      </c>
      <c r="E142" s="3">
        <v>7703202221275</v>
      </c>
      <c r="F142" s="3">
        <v>782074</v>
      </c>
      <c r="G142" s="5">
        <v>399766</v>
      </c>
      <c r="H142" s="5" t="s">
        <v>215</v>
      </c>
    </row>
    <row r="143" spans="1:8" x14ac:dyDescent="0.25">
      <c r="A143" s="3" t="str">
        <f>+Maestra[[#This Row],[SoldTO]]&amp;Maestra[[#This Row],[EAN]]&amp;Maestra[[#This Row],[Canal]]</f>
        <v>1001735097703202221282Institucional</v>
      </c>
      <c r="B143" s="3" t="s">
        <v>176</v>
      </c>
      <c r="C143" s="3">
        <v>100173509</v>
      </c>
      <c r="D143" s="5" t="s">
        <v>64</v>
      </c>
      <c r="E143" s="3">
        <v>7703202221282</v>
      </c>
      <c r="F143" s="3">
        <v>782085</v>
      </c>
      <c r="G143" s="5">
        <v>146961</v>
      </c>
      <c r="H143" s="5" t="s">
        <v>216</v>
      </c>
    </row>
    <row r="144" spans="1:8" x14ac:dyDescent="0.25">
      <c r="A144" s="3" t="str">
        <f>+Maestra[[#This Row],[SoldTO]]&amp;Maestra[[#This Row],[EAN]]&amp;Maestra[[#This Row],[Canal]]</f>
        <v>1001735097703202221169Institucional</v>
      </c>
      <c r="B144" s="3" t="s">
        <v>176</v>
      </c>
      <c r="C144" s="3">
        <v>100173509</v>
      </c>
      <c r="D144" s="5" t="s">
        <v>64</v>
      </c>
      <c r="E144" s="3">
        <v>7703202221169</v>
      </c>
      <c r="F144" s="3">
        <v>715503</v>
      </c>
      <c r="G144" s="5">
        <v>385952</v>
      </c>
      <c r="H144" s="5" t="s">
        <v>217</v>
      </c>
    </row>
    <row r="145" spans="1:8" x14ac:dyDescent="0.25">
      <c r="A145" s="3" t="str">
        <f>+Maestra[[#This Row],[SoldTO]]&amp;Maestra[[#This Row],[EAN]]&amp;Maestra[[#This Row],[Canal]]</f>
        <v>1001735097703202221152Institucional</v>
      </c>
      <c r="B145" s="3" t="s">
        <v>176</v>
      </c>
      <c r="C145" s="3">
        <v>100173509</v>
      </c>
      <c r="D145" s="5" t="s">
        <v>64</v>
      </c>
      <c r="E145" s="3">
        <v>7703202221152</v>
      </c>
      <c r="F145" s="3">
        <v>715506</v>
      </c>
      <c r="G145" s="5">
        <v>385946</v>
      </c>
      <c r="H145" s="5" t="s">
        <v>218</v>
      </c>
    </row>
    <row r="146" spans="1:8" x14ac:dyDescent="0.25">
      <c r="A146" s="3" t="str">
        <f>+Maestra[[#This Row],[SoldTO]]&amp;Maestra[[#This Row],[EAN]]&amp;Maestra[[#This Row],[Canal]]</f>
        <v>1001735097703202221176Institucional</v>
      </c>
      <c r="B146" s="3" t="s">
        <v>176</v>
      </c>
      <c r="C146" s="3">
        <v>100173509</v>
      </c>
      <c r="D146" s="5" t="s">
        <v>64</v>
      </c>
      <c r="E146" s="3">
        <v>7703202221176</v>
      </c>
      <c r="F146" s="3">
        <v>715717</v>
      </c>
      <c r="G146" s="5">
        <v>145617</v>
      </c>
      <c r="H146" s="5" t="s">
        <v>219</v>
      </c>
    </row>
    <row r="147" spans="1:8" x14ac:dyDescent="0.25">
      <c r="A147" s="3" t="str">
        <f>+Maestra[[#This Row],[SoldTO]]&amp;Maestra[[#This Row],[EAN]]&amp;Maestra[[#This Row],[Canal]]</f>
        <v>1001735093664798069211Institucional</v>
      </c>
      <c r="B147" s="3" t="s">
        <v>176</v>
      </c>
      <c r="C147" s="3">
        <v>100173509</v>
      </c>
      <c r="D147" s="5" t="s">
        <v>64</v>
      </c>
      <c r="E147" s="3">
        <v>3664798069211</v>
      </c>
      <c r="F147" s="3">
        <v>715717</v>
      </c>
      <c r="G147" s="5">
        <v>145617</v>
      </c>
      <c r="H147" s="5" t="s">
        <v>219</v>
      </c>
    </row>
    <row r="148" spans="1:8" x14ac:dyDescent="0.25">
      <c r="A148" s="3" t="str">
        <f>+Maestra[[#This Row],[SoldTO]]&amp;Maestra[[#This Row],[EAN]]&amp;Maestra[[#This Row],[Canal]]</f>
        <v>1001735093582910009900Institucional</v>
      </c>
      <c r="B148" s="3" t="s">
        <v>176</v>
      </c>
      <c r="C148" s="3">
        <v>100173509</v>
      </c>
      <c r="D148" s="5" t="s">
        <v>64</v>
      </c>
      <c r="E148" s="3">
        <v>3582910009900</v>
      </c>
      <c r="F148" s="3">
        <v>873229</v>
      </c>
      <c r="G148" s="5">
        <v>54706</v>
      </c>
      <c r="H148" s="5" t="s">
        <v>220</v>
      </c>
    </row>
    <row r="149" spans="1:8" x14ac:dyDescent="0.25">
      <c r="A149" s="3" t="str">
        <f>+Maestra[[#This Row],[SoldTO]]&amp;Maestra[[#This Row],[EAN]]&amp;Maestra[[#This Row],[Canal]]</f>
        <v>1001735097702771001561Institucional</v>
      </c>
      <c r="B149" s="3" t="s">
        <v>176</v>
      </c>
      <c r="C149" s="3">
        <v>100173509</v>
      </c>
      <c r="D149" s="5" t="s">
        <v>64</v>
      </c>
      <c r="E149" s="3">
        <v>7702771001561</v>
      </c>
      <c r="F149" s="3">
        <v>873239</v>
      </c>
      <c r="G149" s="5">
        <v>537317</v>
      </c>
      <c r="H149" s="5" t="s">
        <v>221</v>
      </c>
    </row>
    <row r="150" spans="1:8" x14ac:dyDescent="0.25">
      <c r="A150" s="3" t="str">
        <f>+Maestra[[#This Row],[SoldTO]]&amp;Maestra[[#This Row],[EAN]]&amp;Maestra[[#This Row],[Canal]]</f>
        <v>1001735097703202221800Institucional</v>
      </c>
      <c r="B150" s="3" t="s">
        <v>176</v>
      </c>
      <c r="C150" s="3">
        <v>100173509</v>
      </c>
      <c r="D150" s="5" t="s">
        <v>64</v>
      </c>
      <c r="E150" s="3">
        <v>7703202221800</v>
      </c>
      <c r="F150" s="3">
        <v>893499</v>
      </c>
      <c r="G150" s="5">
        <v>145619</v>
      </c>
      <c r="H150" s="5" t="s">
        <v>222</v>
      </c>
    </row>
    <row r="151" spans="1:8" x14ac:dyDescent="0.25">
      <c r="A151" s="3" t="str">
        <f>+Maestra[[#This Row],[SoldTO]]&amp;Maestra[[#This Row],[EAN]]&amp;Maestra[[#This Row],[Canal]]</f>
        <v>1001735097591044401036Institucional</v>
      </c>
      <c r="B151" s="3" t="s">
        <v>176</v>
      </c>
      <c r="C151" s="3">
        <v>100173509</v>
      </c>
      <c r="D151" s="5" t="s">
        <v>64</v>
      </c>
      <c r="E151" s="3">
        <v>7591044401036</v>
      </c>
      <c r="F151" s="3">
        <v>723871</v>
      </c>
      <c r="G151" s="5">
        <v>120049</v>
      </c>
      <c r="H151" s="5" t="s">
        <v>223</v>
      </c>
    </row>
    <row r="152" spans="1:8" x14ac:dyDescent="0.25">
      <c r="A152" s="3" t="str">
        <f>+Maestra[[#This Row],[SoldTO]]&amp;Maestra[[#This Row],[EAN]]&amp;Maestra[[#This Row],[Canal]]</f>
        <v>1001735097501165010444Institucional</v>
      </c>
      <c r="B152" s="3" t="s">
        <v>176</v>
      </c>
      <c r="C152" s="3">
        <v>100173509</v>
      </c>
      <c r="D152" s="5" t="s">
        <v>64</v>
      </c>
      <c r="E152" s="3">
        <v>7501165010444</v>
      </c>
      <c r="F152" s="3">
        <v>120777</v>
      </c>
      <c r="G152" s="5">
        <v>384773</v>
      </c>
      <c r="H152" s="5" t="s">
        <v>224</v>
      </c>
    </row>
    <row r="153" spans="1:8" x14ac:dyDescent="0.25">
      <c r="A153" s="3" t="str">
        <f>+Maestra[[#This Row],[SoldTO]]&amp;Maestra[[#This Row],[EAN]]&amp;Maestra[[#This Row],[Canal]]</f>
        <v>1001735097591044009447Institucional</v>
      </c>
      <c r="B153" s="3" t="s">
        <v>176</v>
      </c>
      <c r="C153" s="3">
        <v>100173509</v>
      </c>
      <c r="D153" s="5" t="s">
        <v>64</v>
      </c>
      <c r="E153" s="3">
        <v>7591044009447</v>
      </c>
      <c r="F153" s="3">
        <v>120786</v>
      </c>
      <c r="G153" s="5">
        <v>384775</v>
      </c>
      <c r="H153" s="5" t="s">
        <v>225</v>
      </c>
    </row>
    <row r="154" spans="1:8" x14ac:dyDescent="0.25">
      <c r="A154" s="3" t="str">
        <f>+Maestra[[#This Row],[SoldTO]]&amp;Maestra[[#This Row],[EAN]]&amp;Maestra[[#This Row],[Canal]]</f>
        <v>1001735097591044007191Institucional</v>
      </c>
      <c r="B154" s="3" t="s">
        <v>176</v>
      </c>
      <c r="C154" s="3">
        <v>100173509</v>
      </c>
      <c r="D154" s="5" t="s">
        <v>64</v>
      </c>
      <c r="E154" s="3">
        <v>7591044007191</v>
      </c>
      <c r="F154" s="3">
        <v>600723</v>
      </c>
      <c r="G154" s="5">
        <v>384774</v>
      </c>
      <c r="H154" s="5" t="s">
        <v>226</v>
      </c>
    </row>
    <row r="155" spans="1:8" x14ac:dyDescent="0.25">
      <c r="A155" s="3" t="str">
        <f>+Maestra[[#This Row],[SoldTO]]&amp;Maestra[[#This Row],[EAN]]&amp;Maestra[[#This Row],[Canal]]</f>
        <v>1001735077795312100090Retail</v>
      </c>
      <c r="B155" s="3" t="s">
        <v>261</v>
      </c>
      <c r="C155" s="3">
        <v>100173507</v>
      </c>
      <c r="D155" s="5" t="s">
        <v>9</v>
      </c>
      <c r="E155" s="23">
        <v>7795312100090</v>
      </c>
      <c r="F155" s="3">
        <v>785678</v>
      </c>
      <c r="G155" s="22">
        <v>1117327</v>
      </c>
      <c r="H155" s="5" t="s">
        <v>227</v>
      </c>
    </row>
    <row r="156" spans="1:8" x14ac:dyDescent="0.25">
      <c r="A156" s="3" t="str">
        <f>+Maestra[[#This Row],[SoldTO]]&amp;Maestra[[#This Row],[EAN]]&amp;Maestra[[#This Row],[Canal]]</f>
        <v>1001735077591044008952Retail</v>
      </c>
      <c r="B156" s="3" t="s">
        <v>261</v>
      </c>
      <c r="C156" s="3">
        <v>100173507</v>
      </c>
      <c r="D156" s="5" t="s">
        <v>9</v>
      </c>
      <c r="E156" s="23">
        <v>7591044008952</v>
      </c>
      <c r="F156" s="3">
        <v>666269</v>
      </c>
      <c r="G156" s="22">
        <v>1010996</v>
      </c>
      <c r="H156" s="5" t="s">
        <v>228</v>
      </c>
    </row>
    <row r="157" spans="1:8" x14ac:dyDescent="0.25">
      <c r="A157" s="3" t="str">
        <f>+Maestra[[#This Row],[SoldTO]]&amp;Maestra[[#This Row],[EAN]]&amp;Maestra[[#This Row],[Canal]]</f>
        <v>1001735077591044009010Retail</v>
      </c>
      <c r="B157" s="3" t="s">
        <v>261</v>
      </c>
      <c r="C157" s="3">
        <v>100173507</v>
      </c>
      <c r="D157" s="5" t="s">
        <v>9</v>
      </c>
      <c r="E157" s="23">
        <v>7591044009010</v>
      </c>
      <c r="F157" s="3">
        <v>732308</v>
      </c>
      <c r="G157" s="22">
        <v>1011422</v>
      </c>
      <c r="H157" s="5" t="s">
        <v>229</v>
      </c>
    </row>
    <row r="158" spans="1:8" x14ac:dyDescent="0.25">
      <c r="A158" s="3" t="str">
        <f>+Maestra[[#This Row],[SoldTO]]&amp;Maestra[[#This Row],[EAN]]&amp;Maestra[[#This Row],[Canal]]</f>
        <v>1001735077703202010329Retail</v>
      </c>
      <c r="B158" s="3" t="s">
        <v>261</v>
      </c>
      <c r="C158" s="3">
        <v>100173507</v>
      </c>
      <c r="D158" s="5" t="s">
        <v>9</v>
      </c>
      <c r="E158" s="23">
        <v>7703202010329</v>
      </c>
      <c r="F158" s="3">
        <v>341667</v>
      </c>
      <c r="G158" s="22">
        <v>1130572</v>
      </c>
      <c r="H158" s="5" t="s">
        <v>230</v>
      </c>
    </row>
    <row r="159" spans="1:8" x14ac:dyDescent="0.25">
      <c r="A159" s="3" t="str">
        <f>+Maestra[[#This Row],[SoldTO]]&amp;Maestra[[#This Row],[EAN]]&amp;Maestra[[#This Row],[Canal]]</f>
        <v>1001735077706263600645Retail</v>
      </c>
      <c r="B159" s="3" t="s">
        <v>261</v>
      </c>
      <c r="C159" s="3">
        <v>100173507</v>
      </c>
      <c r="D159" s="5" t="s">
        <v>9</v>
      </c>
      <c r="E159" s="23">
        <v>7706263600645</v>
      </c>
      <c r="F159" s="3">
        <v>785678</v>
      </c>
      <c r="G159" s="22">
        <v>100527</v>
      </c>
      <c r="H159" s="5" t="s">
        <v>231</v>
      </c>
    </row>
    <row r="160" spans="1:8" x14ac:dyDescent="0.25">
      <c r="A160" s="3" t="str">
        <f>+Maestra[[#This Row],[SoldTO]]&amp;Maestra[[#This Row],[EAN]]&amp;Maestra[[#This Row],[Canal]]</f>
        <v>1001735077706263600621Retail</v>
      </c>
      <c r="B160" s="3" t="s">
        <v>261</v>
      </c>
      <c r="C160" s="3">
        <v>100173507</v>
      </c>
      <c r="D160" s="5" t="s">
        <v>9</v>
      </c>
      <c r="E160" s="23">
        <v>7706263600621</v>
      </c>
      <c r="F160" s="3">
        <v>732308</v>
      </c>
      <c r="G160" s="22">
        <v>70328</v>
      </c>
      <c r="H160" s="5" t="s">
        <v>232</v>
      </c>
    </row>
    <row r="161" spans="1:8" x14ac:dyDescent="0.25">
      <c r="A161" s="3" t="str">
        <f>+Maestra[[#This Row],[SoldTO]]&amp;Maestra[[#This Row],[EAN]]&amp;Maestra[[#This Row],[Canal]]</f>
        <v>1001735077706263600638Retail</v>
      </c>
      <c r="B161" s="3" t="s">
        <v>261</v>
      </c>
      <c r="C161" s="3">
        <v>100173507</v>
      </c>
      <c r="D161" s="5" t="s">
        <v>9</v>
      </c>
      <c r="E161" s="23">
        <v>7706263600638</v>
      </c>
      <c r="F161" s="3">
        <v>341667</v>
      </c>
      <c r="G161" s="22">
        <v>70329</v>
      </c>
      <c r="H161" s="5" t="s">
        <v>233</v>
      </c>
    </row>
    <row r="162" spans="1:8" x14ac:dyDescent="0.25">
      <c r="A162" s="3" t="str">
        <f>+Maestra[[#This Row],[SoldTO]]&amp;Maestra[[#This Row],[EAN]]&amp;Maestra[[#This Row],[Canal]]</f>
        <v>1001735077703202221237Retail</v>
      </c>
      <c r="B162" s="3" t="s">
        <v>261</v>
      </c>
      <c r="C162" s="3">
        <v>100173507</v>
      </c>
      <c r="D162" s="5" t="s">
        <v>9</v>
      </c>
      <c r="E162" s="23">
        <v>7703202221237</v>
      </c>
      <c r="F162" s="3">
        <v>782064</v>
      </c>
      <c r="G162" s="22">
        <v>1283326</v>
      </c>
      <c r="H162" s="5" t="s">
        <v>234</v>
      </c>
    </row>
    <row r="163" spans="1:8" x14ac:dyDescent="0.25">
      <c r="A163" s="3" t="str">
        <f>+Maestra[[#This Row],[SoldTO]]&amp;Maestra[[#This Row],[EAN]]&amp;Maestra[[#This Row],[Canal]]</f>
        <v>1001735077703202221428Retail</v>
      </c>
      <c r="B163" s="3" t="s">
        <v>261</v>
      </c>
      <c r="C163" s="3">
        <v>100173507</v>
      </c>
      <c r="D163" s="5" t="s">
        <v>9</v>
      </c>
      <c r="E163" s="23">
        <v>7703202221428</v>
      </c>
      <c r="F163" s="3">
        <v>782090</v>
      </c>
      <c r="G163" s="22">
        <v>1283331</v>
      </c>
      <c r="H163" s="5" t="s">
        <v>235</v>
      </c>
    </row>
    <row r="164" spans="1:8" x14ac:dyDescent="0.25">
      <c r="A164" s="3" t="str">
        <f>+Maestra[[#This Row],[SoldTO]]&amp;Maestra[[#This Row],[EAN]]&amp;Maestra[[#This Row],[Canal]]</f>
        <v>1001735077703202221220Retail</v>
      </c>
      <c r="B164" s="3" t="s">
        <v>261</v>
      </c>
      <c r="C164" s="3">
        <v>100173507</v>
      </c>
      <c r="D164" s="5" t="s">
        <v>9</v>
      </c>
      <c r="E164" s="23">
        <v>7703202221220</v>
      </c>
      <c r="F164" s="3">
        <v>781955</v>
      </c>
      <c r="G164" s="22">
        <v>1283325</v>
      </c>
      <c r="H164" s="5" t="s">
        <v>236</v>
      </c>
    </row>
    <row r="165" spans="1:8" x14ac:dyDescent="0.25">
      <c r="A165" s="3" t="str">
        <f>+Maestra[[#This Row],[SoldTO]]&amp;Maestra[[#This Row],[EAN]]&amp;Maestra[[#This Row],[Canal]]</f>
        <v>1001735077703202221381Retail</v>
      </c>
      <c r="B165" s="3" t="s">
        <v>261</v>
      </c>
      <c r="C165" s="3">
        <v>100173507</v>
      </c>
      <c r="D165" s="5" t="s">
        <v>9</v>
      </c>
      <c r="E165" s="23">
        <v>7703202221381</v>
      </c>
      <c r="F165" s="3">
        <v>782089</v>
      </c>
      <c r="G165" s="22">
        <v>1283330</v>
      </c>
      <c r="H165" s="5" t="s">
        <v>237</v>
      </c>
    </row>
    <row r="166" spans="1:8" x14ac:dyDescent="0.25">
      <c r="A166" s="3" t="str">
        <f>+Maestra[[#This Row],[SoldTO]]&amp;Maestra[[#This Row],[EAN]]&amp;Maestra[[#This Row],[Canal]]</f>
        <v>1001735077703202121230Retail</v>
      </c>
      <c r="B166" s="3" t="s">
        <v>261</v>
      </c>
      <c r="C166" s="3">
        <v>100173507</v>
      </c>
      <c r="D166" s="5" t="s">
        <v>9</v>
      </c>
      <c r="E166" s="23">
        <v>7703202121230</v>
      </c>
      <c r="F166" s="3">
        <v>782064</v>
      </c>
      <c r="G166" s="22">
        <v>72977</v>
      </c>
      <c r="H166" s="5" t="s">
        <v>238</v>
      </c>
    </row>
    <row r="167" spans="1:8" x14ac:dyDescent="0.25">
      <c r="A167" s="3" t="str">
        <f>+Maestra[[#This Row],[SoldTO]]&amp;Maestra[[#This Row],[EAN]]&amp;Maestra[[#This Row],[Canal]]</f>
        <v>1001735077703202121223Retail</v>
      </c>
      <c r="B167" s="3" t="s">
        <v>261</v>
      </c>
      <c r="C167" s="3">
        <v>100173507</v>
      </c>
      <c r="D167" s="5" t="s">
        <v>9</v>
      </c>
      <c r="E167" s="23">
        <v>7703202121223</v>
      </c>
      <c r="F167" s="3">
        <v>781955</v>
      </c>
      <c r="G167" s="22">
        <v>72978</v>
      </c>
      <c r="H167" s="5" t="s">
        <v>239</v>
      </c>
    </row>
    <row r="168" spans="1:8" x14ac:dyDescent="0.25">
      <c r="A168" s="3" t="str">
        <f>+Maestra[[#This Row],[SoldTO]]&amp;Maestra[[#This Row],[EAN]]&amp;Maestra[[#This Row],[Canal]]</f>
        <v>1001735077703202221244Retail</v>
      </c>
      <c r="B168" s="3" t="s">
        <v>261</v>
      </c>
      <c r="C168" s="3">
        <v>100173507</v>
      </c>
      <c r="D168" s="5" t="s">
        <v>9</v>
      </c>
      <c r="E168" s="23">
        <v>7703202221244</v>
      </c>
      <c r="F168" s="3">
        <v>782065</v>
      </c>
      <c r="G168" s="22">
        <v>1283327</v>
      </c>
      <c r="H168" s="5" t="s">
        <v>240</v>
      </c>
    </row>
    <row r="169" spans="1:8" x14ac:dyDescent="0.25">
      <c r="A169" s="3" t="str">
        <f>+Maestra[[#This Row],[SoldTO]]&amp;Maestra[[#This Row],[EAN]]&amp;Maestra[[#This Row],[Canal]]</f>
        <v>1001735077703202221091Retail</v>
      </c>
      <c r="B169" s="3" t="s">
        <v>261</v>
      </c>
      <c r="C169" s="3">
        <v>100173507</v>
      </c>
      <c r="D169" s="5" t="s">
        <v>9</v>
      </c>
      <c r="E169" s="23">
        <v>7703202221091</v>
      </c>
      <c r="F169" s="3">
        <v>797130</v>
      </c>
      <c r="G169" s="22">
        <v>1284312</v>
      </c>
      <c r="H169" s="5" t="s">
        <v>241</v>
      </c>
    </row>
    <row r="170" spans="1:8" x14ac:dyDescent="0.25">
      <c r="A170" s="3" t="str">
        <f>+Maestra[[#This Row],[SoldTO]]&amp;Maestra[[#This Row],[EAN]]&amp;Maestra[[#This Row],[Canal]]</f>
        <v>1001735077703202221336Retail</v>
      </c>
      <c r="B170" s="3" t="s">
        <v>261</v>
      </c>
      <c r="C170" s="3">
        <v>100173507</v>
      </c>
      <c r="D170" s="5" t="s">
        <v>9</v>
      </c>
      <c r="E170" s="23">
        <v>7703202221336</v>
      </c>
      <c r="F170" s="3">
        <v>782093</v>
      </c>
      <c r="G170" s="22">
        <v>1289613</v>
      </c>
      <c r="H170" s="5" t="s">
        <v>242</v>
      </c>
    </row>
    <row r="171" spans="1:8" x14ac:dyDescent="0.25">
      <c r="A171" s="3" t="str">
        <f>+Maestra[[#This Row],[SoldTO]]&amp;Maestra[[#This Row],[EAN]]&amp;Maestra[[#This Row],[Canal]]</f>
        <v>1001735077703202221329Retail</v>
      </c>
      <c r="B171" s="3" t="s">
        <v>261</v>
      </c>
      <c r="C171" s="3">
        <v>100173507</v>
      </c>
      <c r="D171" s="5" t="s">
        <v>9</v>
      </c>
      <c r="E171" s="23">
        <v>7703202221329</v>
      </c>
      <c r="F171" s="3">
        <v>782092</v>
      </c>
      <c r="G171" s="22">
        <v>1289612</v>
      </c>
      <c r="H171" s="5" t="s">
        <v>243</v>
      </c>
    </row>
    <row r="172" spans="1:8" x14ac:dyDescent="0.25">
      <c r="A172" s="3" t="str">
        <f>+Maestra[[#This Row],[SoldTO]]&amp;Maestra[[#This Row],[EAN]]&amp;Maestra[[#This Row],[Canal]]</f>
        <v>1001735077703202221305Retail</v>
      </c>
      <c r="B172" s="3" t="s">
        <v>261</v>
      </c>
      <c r="C172" s="3">
        <v>100173507</v>
      </c>
      <c r="D172" s="5" t="s">
        <v>9</v>
      </c>
      <c r="E172" s="23">
        <v>7703202221305</v>
      </c>
      <c r="F172" s="3">
        <v>782086</v>
      </c>
      <c r="G172" s="22">
        <v>1283329</v>
      </c>
      <c r="H172" s="5" t="s">
        <v>244</v>
      </c>
    </row>
    <row r="173" spans="1:8" x14ac:dyDescent="0.25">
      <c r="A173" s="3" t="str">
        <f>+Maestra[[#This Row],[SoldTO]]&amp;Maestra[[#This Row],[EAN]]&amp;Maestra[[#This Row],[Canal]]</f>
        <v>1001735077703202221275Retail</v>
      </c>
      <c r="B173" s="3" t="s">
        <v>261</v>
      </c>
      <c r="C173" s="3">
        <v>100173507</v>
      </c>
      <c r="D173" s="5" t="s">
        <v>9</v>
      </c>
      <c r="E173" s="23">
        <v>7703202221275</v>
      </c>
      <c r="F173" s="3">
        <v>782074</v>
      </c>
      <c r="G173" s="22">
        <v>1283328</v>
      </c>
      <c r="H173" s="5" t="s">
        <v>245</v>
      </c>
    </row>
    <row r="174" spans="1:8" x14ac:dyDescent="0.25">
      <c r="A174" s="3" t="str">
        <f>+Maestra[[#This Row],[SoldTO]]&amp;Maestra[[#This Row],[EAN]]&amp;Maestra[[#This Row],[Canal]]</f>
        <v>1001735077703202121292Retail</v>
      </c>
      <c r="B174" s="3" t="s">
        <v>261</v>
      </c>
      <c r="C174" s="3">
        <v>100173507</v>
      </c>
      <c r="D174" s="5" t="s">
        <v>9</v>
      </c>
      <c r="E174" s="23">
        <v>7703202121292</v>
      </c>
      <c r="F174" s="3">
        <v>782085</v>
      </c>
      <c r="G174" s="22">
        <v>78563</v>
      </c>
      <c r="H174" s="5" t="s">
        <v>246</v>
      </c>
    </row>
    <row r="175" spans="1:8" x14ac:dyDescent="0.25">
      <c r="A175" s="3" t="str">
        <f>+Maestra[[#This Row],[SoldTO]]&amp;Maestra[[#This Row],[EAN]]&amp;Maestra[[#This Row],[Canal]]</f>
        <v>1001735077703202221169Retail</v>
      </c>
      <c r="B175" s="3" t="s">
        <v>261</v>
      </c>
      <c r="C175" s="3">
        <v>100173507</v>
      </c>
      <c r="D175" s="5" t="s">
        <v>9</v>
      </c>
      <c r="E175" s="23">
        <v>7703202221169</v>
      </c>
      <c r="F175" s="3">
        <v>715503</v>
      </c>
      <c r="G175" s="22">
        <v>1283321</v>
      </c>
      <c r="H175" s="5" t="s">
        <v>247</v>
      </c>
    </row>
    <row r="176" spans="1:8" x14ac:dyDescent="0.25">
      <c r="A176" s="3" t="str">
        <f>+Maestra[[#This Row],[SoldTO]]&amp;Maestra[[#This Row],[EAN]]&amp;Maestra[[#This Row],[Canal]]</f>
        <v>1001735077703202221152Retail</v>
      </c>
      <c r="B176" s="3" t="s">
        <v>261</v>
      </c>
      <c r="C176" s="3">
        <v>100173507</v>
      </c>
      <c r="D176" s="5" t="s">
        <v>9</v>
      </c>
      <c r="E176" s="23">
        <v>7703202221152</v>
      </c>
      <c r="F176" s="3">
        <v>715506</v>
      </c>
      <c r="G176" s="22">
        <v>1283320</v>
      </c>
      <c r="H176" s="5" t="s">
        <v>248</v>
      </c>
    </row>
    <row r="177" spans="1:8" x14ac:dyDescent="0.25">
      <c r="A177" s="3" t="str">
        <f>+Maestra[[#This Row],[SoldTO]]&amp;Maestra[[#This Row],[EAN]]&amp;Maestra[[#This Row],[Canal]]</f>
        <v>1001735077703202221176Retail</v>
      </c>
      <c r="B177" s="3" t="s">
        <v>261</v>
      </c>
      <c r="C177" s="3">
        <v>100173507</v>
      </c>
      <c r="D177" s="5" t="s">
        <v>9</v>
      </c>
      <c r="E177" s="23">
        <v>7703202221176</v>
      </c>
      <c r="F177" s="3">
        <v>715717</v>
      </c>
      <c r="G177" s="22">
        <v>1283322</v>
      </c>
      <c r="H177" s="5" t="s">
        <v>249</v>
      </c>
    </row>
    <row r="178" spans="1:8" x14ac:dyDescent="0.25">
      <c r="A178" s="3" t="str">
        <f>+Maestra[[#This Row],[SoldTO]]&amp;Maestra[[#This Row],[EAN]]&amp;Maestra[[#This Row],[Canal]]</f>
        <v>1001735077703202121155Retail</v>
      </c>
      <c r="B178" s="3" t="s">
        <v>261</v>
      </c>
      <c r="C178" s="3">
        <v>100173507</v>
      </c>
      <c r="D178" s="5" t="s">
        <v>9</v>
      </c>
      <c r="E178" s="23">
        <v>7703202121155</v>
      </c>
      <c r="F178" s="3">
        <v>715506</v>
      </c>
      <c r="G178" s="22">
        <v>78564</v>
      </c>
      <c r="H178" s="5" t="s">
        <v>250</v>
      </c>
    </row>
    <row r="179" spans="1:8" x14ac:dyDescent="0.25">
      <c r="A179" s="3" t="str">
        <f>+Maestra[[#This Row],[SoldTO]]&amp;Maestra[[#This Row],[EAN]]&amp;Maestra[[#This Row],[Canal]]</f>
        <v>1001735073582910009900Retail</v>
      </c>
      <c r="B179" s="3" t="s">
        <v>261</v>
      </c>
      <c r="C179" s="3">
        <v>100173507</v>
      </c>
      <c r="D179" s="5" t="s">
        <v>9</v>
      </c>
      <c r="E179" s="23">
        <v>3582910009900</v>
      </c>
      <c r="F179" s="3">
        <v>873229</v>
      </c>
      <c r="G179" s="22">
        <v>1203136</v>
      </c>
      <c r="H179" s="5" t="s">
        <v>251</v>
      </c>
    </row>
    <row r="180" spans="1:8" x14ac:dyDescent="0.25">
      <c r="A180" s="3" t="str">
        <f>+Maestra[[#This Row],[SoldTO]]&amp;Maestra[[#This Row],[EAN]]&amp;Maestra[[#This Row],[Canal]]</f>
        <v>1001735077702771001561Retail</v>
      </c>
      <c r="B180" s="3" t="s">
        <v>261</v>
      </c>
      <c r="C180" s="3">
        <v>100173507</v>
      </c>
      <c r="D180" s="5" t="s">
        <v>9</v>
      </c>
      <c r="E180" s="23">
        <v>7702771001561</v>
      </c>
      <c r="F180" s="3">
        <v>873239</v>
      </c>
      <c r="G180" s="22">
        <v>1245994</v>
      </c>
      <c r="H180" s="5" t="s">
        <v>252</v>
      </c>
    </row>
    <row r="181" spans="1:8" x14ac:dyDescent="0.25">
      <c r="A181" s="3" t="str">
        <f>+Maestra[[#This Row],[SoldTO]]&amp;Maestra[[#This Row],[EAN]]&amp;Maestra[[#This Row],[Canal]]</f>
        <v>1001735077706263600072Retail</v>
      </c>
      <c r="B181" s="3" t="s">
        <v>261</v>
      </c>
      <c r="C181" s="3">
        <v>100173507</v>
      </c>
      <c r="D181" s="5" t="s">
        <v>9</v>
      </c>
      <c r="E181" s="23">
        <v>7706263600072</v>
      </c>
      <c r="F181" s="3">
        <v>873229</v>
      </c>
      <c r="G181" s="22">
        <v>76061</v>
      </c>
      <c r="H181" s="5" t="s">
        <v>253</v>
      </c>
    </row>
    <row r="182" spans="1:8" x14ac:dyDescent="0.25">
      <c r="A182" s="3" t="str">
        <f>+Maestra[[#This Row],[SoldTO]]&amp;Maestra[[#This Row],[EAN]]&amp;Maestra[[#This Row],[Canal]]</f>
        <v>1001735077703202003475Retail</v>
      </c>
      <c r="B182" s="3" t="s">
        <v>261</v>
      </c>
      <c r="C182" s="3">
        <v>100173507</v>
      </c>
      <c r="D182" s="5" t="s">
        <v>9</v>
      </c>
      <c r="E182" s="23">
        <v>7703202003475</v>
      </c>
      <c r="F182" s="3">
        <v>650554</v>
      </c>
      <c r="G182" s="22">
        <v>1281624</v>
      </c>
      <c r="H182" s="5" t="s">
        <v>254</v>
      </c>
    </row>
    <row r="183" spans="1:8" x14ac:dyDescent="0.25">
      <c r="A183" s="3" t="str">
        <f>+Maestra[[#This Row],[SoldTO]]&amp;Maestra[[#This Row],[EAN]]&amp;Maestra[[#This Row],[Canal]]</f>
        <v>1001735077501165007956Retail</v>
      </c>
      <c r="B183" s="3" t="s">
        <v>261</v>
      </c>
      <c r="C183" s="3">
        <v>100173507</v>
      </c>
      <c r="D183" s="5" t="s">
        <v>9</v>
      </c>
      <c r="E183" s="23">
        <v>7501165007956</v>
      </c>
      <c r="F183" s="3">
        <v>655678</v>
      </c>
      <c r="G183" s="22">
        <v>1200431</v>
      </c>
      <c r="H183" s="5" t="s">
        <v>255</v>
      </c>
    </row>
    <row r="184" spans="1:8" x14ac:dyDescent="0.25">
      <c r="A184" s="3" t="str">
        <f>+Maestra[[#This Row],[SoldTO]]&amp;Maestra[[#This Row],[EAN]]&amp;Maestra[[#This Row],[Canal]]</f>
        <v>1001735077703202221800Retail</v>
      </c>
      <c r="B184" s="3" t="s">
        <v>261</v>
      </c>
      <c r="C184" s="3">
        <v>100173507</v>
      </c>
      <c r="D184" s="5" t="s">
        <v>9</v>
      </c>
      <c r="E184" s="23">
        <v>7703202221800</v>
      </c>
      <c r="F184" s="3">
        <v>893499</v>
      </c>
      <c r="G184" s="22">
        <v>1361156</v>
      </c>
      <c r="H184" s="5" t="s">
        <v>256</v>
      </c>
    </row>
    <row r="185" spans="1:8" x14ac:dyDescent="0.25">
      <c r="A185" s="3" t="str">
        <f>+Maestra[[#This Row],[SoldTO]]&amp;Maestra[[#This Row],[EAN]]&amp;Maestra[[#This Row],[Canal]]</f>
        <v>1001735077591044401036Retail</v>
      </c>
      <c r="B185" s="3" t="s">
        <v>261</v>
      </c>
      <c r="C185" s="3">
        <v>100173507</v>
      </c>
      <c r="D185" s="5" t="s">
        <v>9</v>
      </c>
      <c r="E185" s="23">
        <v>7591044401036</v>
      </c>
      <c r="F185" s="3">
        <v>723871</v>
      </c>
      <c r="G185" s="22">
        <v>1015474</v>
      </c>
      <c r="H185" s="5" t="s">
        <v>257</v>
      </c>
    </row>
    <row r="186" spans="1:8" x14ac:dyDescent="0.25">
      <c r="A186" s="3" t="str">
        <f>+Maestra[[#This Row],[SoldTO]]&amp;Maestra[[#This Row],[EAN]]&amp;Maestra[[#This Row],[Canal]]</f>
        <v>1001735077501165010444Retail</v>
      </c>
      <c r="B186" s="3" t="s">
        <v>261</v>
      </c>
      <c r="C186" s="3">
        <v>100173507</v>
      </c>
      <c r="D186" s="5" t="s">
        <v>9</v>
      </c>
      <c r="E186" s="23">
        <v>7501165010444</v>
      </c>
      <c r="F186" s="3">
        <v>600723</v>
      </c>
      <c r="G186" s="22">
        <v>1281081</v>
      </c>
      <c r="H186" s="5" t="s">
        <v>258</v>
      </c>
    </row>
    <row r="187" spans="1:8" x14ac:dyDescent="0.25">
      <c r="A187" s="3" t="str">
        <f>+Maestra[[#This Row],[SoldTO]]&amp;Maestra[[#This Row],[EAN]]&amp;Maestra[[#This Row],[Canal]]</f>
        <v>1001735077706263600775Retail</v>
      </c>
      <c r="B187" s="3" t="s">
        <v>261</v>
      </c>
      <c r="C187" s="3">
        <v>100173507</v>
      </c>
      <c r="D187" s="5" t="s">
        <v>9</v>
      </c>
      <c r="E187" s="23">
        <v>7706263600775</v>
      </c>
      <c r="F187" s="3">
        <v>723871</v>
      </c>
      <c r="G187" s="22">
        <v>71073</v>
      </c>
      <c r="H187" s="5" t="s">
        <v>259</v>
      </c>
    </row>
    <row r="188" spans="1:8" x14ac:dyDescent="0.25">
      <c r="A188" s="3" t="str">
        <f>+Maestra[[#This Row],[SoldTO]]&amp;Maestra[[#This Row],[EAN]]&amp;Maestra[[#This Row],[Canal]]</f>
        <v>1001735087591044008952Retail</v>
      </c>
      <c r="B188" s="3" t="s">
        <v>260</v>
      </c>
      <c r="C188" s="3">
        <v>100173508</v>
      </c>
      <c r="D188" s="5" t="s">
        <v>9</v>
      </c>
      <c r="E188" s="26">
        <v>7591044008952</v>
      </c>
      <c r="F188" s="3">
        <v>666269</v>
      </c>
      <c r="G188" s="24">
        <v>35106</v>
      </c>
      <c r="H188" s="25" t="s">
        <v>262</v>
      </c>
    </row>
    <row r="189" spans="1:8" x14ac:dyDescent="0.25">
      <c r="A189" s="3" t="str">
        <f>+Maestra[[#This Row],[SoldTO]]&amp;Maestra[[#This Row],[EAN]]&amp;Maestra[[#This Row],[Canal]]</f>
        <v>1001735087591044009010Retail</v>
      </c>
      <c r="B189" s="3" t="s">
        <v>260</v>
      </c>
      <c r="C189" s="3">
        <v>100173508</v>
      </c>
      <c r="D189" s="5" t="s">
        <v>9</v>
      </c>
      <c r="E189" s="26">
        <v>7591044009010</v>
      </c>
      <c r="F189" s="3">
        <v>732308</v>
      </c>
      <c r="G189" s="24">
        <v>35115</v>
      </c>
      <c r="H189" s="25" t="s">
        <v>263</v>
      </c>
    </row>
    <row r="190" spans="1:8" x14ac:dyDescent="0.25">
      <c r="A190" s="3" t="str">
        <f>+Maestra[[#This Row],[SoldTO]]&amp;Maestra[[#This Row],[EAN]]&amp;Maestra[[#This Row],[Canal]]</f>
        <v>1001735087703202010329Retail</v>
      </c>
      <c r="B190" s="3" t="s">
        <v>260</v>
      </c>
      <c r="C190" s="3">
        <v>100173508</v>
      </c>
      <c r="D190" s="5" t="s">
        <v>9</v>
      </c>
      <c r="E190" s="26">
        <v>7703202010329</v>
      </c>
      <c r="F190" s="3">
        <v>341667</v>
      </c>
      <c r="G190" s="24">
        <v>35116</v>
      </c>
      <c r="H190" s="25" t="s">
        <v>264</v>
      </c>
    </row>
    <row r="191" spans="1:8" x14ac:dyDescent="0.25">
      <c r="A191" s="3" t="str">
        <f>+Maestra[[#This Row],[SoldTO]]&amp;Maestra[[#This Row],[EAN]]&amp;Maestra[[#This Row],[Canal]]</f>
        <v>1001735087795312100090Retail</v>
      </c>
      <c r="B191" s="3" t="s">
        <v>260</v>
      </c>
      <c r="C191" s="3">
        <v>100173508</v>
      </c>
      <c r="D191" s="5" t="s">
        <v>9</v>
      </c>
      <c r="E191" s="26">
        <v>7795312100090</v>
      </c>
      <c r="F191" s="3">
        <v>785678</v>
      </c>
      <c r="G191" s="24">
        <v>35157</v>
      </c>
      <c r="H191" s="25" t="s">
        <v>265</v>
      </c>
    </row>
    <row r="192" spans="1:8" x14ac:dyDescent="0.25">
      <c r="A192" s="3" t="str">
        <f>+Maestra[[#This Row],[SoldTO]]&amp;Maestra[[#This Row],[EAN]]&amp;Maestra[[#This Row],[Canal]]</f>
        <v>1001735087703202221237Retail</v>
      </c>
      <c r="B192" s="3" t="s">
        <v>260</v>
      </c>
      <c r="C192" s="3">
        <v>100173508</v>
      </c>
      <c r="D192" s="5" t="s">
        <v>9</v>
      </c>
      <c r="E192" s="26">
        <v>7703202221237</v>
      </c>
      <c r="F192" s="3">
        <v>782064</v>
      </c>
      <c r="G192" s="24">
        <v>13146</v>
      </c>
      <c r="H192" s="25" t="s">
        <v>266</v>
      </c>
    </row>
    <row r="193" spans="1:8" x14ac:dyDescent="0.25">
      <c r="A193" s="3" t="str">
        <f>+Maestra[[#This Row],[SoldTO]]&amp;Maestra[[#This Row],[EAN]]&amp;Maestra[[#This Row],[Canal]]</f>
        <v>1001735087703202221428Retail</v>
      </c>
      <c r="B193" s="3" t="s">
        <v>260</v>
      </c>
      <c r="C193" s="3">
        <v>100173508</v>
      </c>
      <c r="D193" s="5" t="s">
        <v>9</v>
      </c>
      <c r="E193" s="26">
        <v>7703202221428</v>
      </c>
      <c r="F193" s="3">
        <v>782090</v>
      </c>
      <c r="G193" s="24">
        <v>13271</v>
      </c>
      <c r="H193" s="25" t="s">
        <v>267</v>
      </c>
    </row>
    <row r="194" spans="1:8" x14ac:dyDescent="0.25">
      <c r="A194" s="3" t="str">
        <f>+Maestra[[#This Row],[SoldTO]]&amp;Maestra[[#This Row],[EAN]]&amp;Maestra[[#This Row],[Canal]]</f>
        <v>1001735087703202221220Retail</v>
      </c>
      <c r="B194" s="3" t="s">
        <v>260</v>
      </c>
      <c r="C194" s="3">
        <v>100173508</v>
      </c>
      <c r="D194" s="5" t="s">
        <v>9</v>
      </c>
      <c r="E194" s="26">
        <v>7703202221220</v>
      </c>
      <c r="F194" s="3">
        <v>781955</v>
      </c>
      <c r="G194" s="24">
        <v>13145</v>
      </c>
      <c r="H194" s="25" t="s">
        <v>268</v>
      </c>
    </row>
    <row r="195" spans="1:8" x14ac:dyDescent="0.25">
      <c r="A195" s="3" t="str">
        <f>+Maestra[[#This Row],[SoldTO]]&amp;Maestra[[#This Row],[EAN]]&amp;Maestra[[#This Row],[Canal]]</f>
        <v>1001735087703202221381Retail</v>
      </c>
      <c r="B195" s="3" t="s">
        <v>260</v>
      </c>
      <c r="C195" s="3">
        <v>100173508</v>
      </c>
      <c r="D195" s="5" t="s">
        <v>9</v>
      </c>
      <c r="E195" s="26">
        <v>7703202221381</v>
      </c>
      <c r="F195" s="3">
        <v>782089</v>
      </c>
      <c r="G195" s="24">
        <v>13275</v>
      </c>
      <c r="H195" s="25" t="s">
        <v>269</v>
      </c>
    </row>
    <row r="196" spans="1:8" x14ac:dyDescent="0.25">
      <c r="A196" s="3" t="str">
        <f>+Maestra[[#This Row],[SoldTO]]&amp;Maestra[[#This Row],[EAN]]&amp;Maestra[[#This Row],[Canal]]</f>
        <v>1001735087703202221244Retail</v>
      </c>
      <c r="B196" s="3" t="s">
        <v>260</v>
      </c>
      <c r="C196" s="3">
        <v>100173508</v>
      </c>
      <c r="D196" s="5" t="s">
        <v>9</v>
      </c>
      <c r="E196" s="26">
        <v>7703202221244</v>
      </c>
      <c r="F196" s="3">
        <v>782065</v>
      </c>
      <c r="G196" s="24">
        <v>13014</v>
      </c>
      <c r="H196" s="25" t="s">
        <v>270</v>
      </c>
    </row>
    <row r="197" spans="1:8" x14ac:dyDescent="0.25">
      <c r="A197" s="3" t="str">
        <f>+Maestra[[#This Row],[SoldTO]]&amp;Maestra[[#This Row],[EAN]]&amp;Maestra[[#This Row],[Canal]]</f>
        <v>1001735087703202221312Retail</v>
      </c>
      <c r="B197" s="3" t="s">
        <v>260</v>
      </c>
      <c r="C197" s="3">
        <v>100173508</v>
      </c>
      <c r="D197" s="5" t="s">
        <v>9</v>
      </c>
      <c r="E197" s="26">
        <v>7703202221312</v>
      </c>
      <c r="F197" s="3">
        <v>782091</v>
      </c>
      <c r="G197" s="24">
        <v>13303</v>
      </c>
      <c r="H197" s="25" t="s">
        <v>271</v>
      </c>
    </row>
    <row r="198" spans="1:8" x14ac:dyDescent="0.25">
      <c r="A198" s="3" t="str">
        <f>+Maestra[[#This Row],[SoldTO]]&amp;Maestra[[#This Row],[EAN]]&amp;Maestra[[#This Row],[Canal]]</f>
        <v>1001735087703202221329Retail</v>
      </c>
      <c r="B198" s="3" t="s">
        <v>260</v>
      </c>
      <c r="C198" s="3">
        <v>100173508</v>
      </c>
      <c r="D198" s="5" t="s">
        <v>9</v>
      </c>
      <c r="E198" s="26">
        <v>7703202221329</v>
      </c>
      <c r="F198" s="3">
        <v>782092</v>
      </c>
      <c r="G198" s="24">
        <v>13305</v>
      </c>
      <c r="H198" s="25" t="s">
        <v>272</v>
      </c>
    </row>
    <row r="199" spans="1:8" x14ac:dyDescent="0.25">
      <c r="A199" s="3" t="str">
        <f>+Maestra[[#This Row],[SoldTO]]&amp;Maestra[[#This Row],[EAN]]&amp;Maestra[[#This Row],[Canal]]</f>
        <v>1001735087703202221305Retail</v>
      </c>
      <c r="B199" s="3" t="s">
        <v>260</v>
      </c>
      <c r="C199" s="3">
        <v>100173508</v>
      </c>
      <c r="D199" s="5" t="s">
        <v>9</v>
      </c>
      <c r="E199" s="26">
        <v>7703202221305</v>
      </c>
      <c r="F199" s="3">
        <v>782086</v>
      </c>
      <c r="G199" s="24">
        <v>13051</v>
      </c>
      <c r="H199" s="25" t="s">
        <v>273</v>
      </c>
    </row>
    <row r="200" spans="1:8" x14ac:dyDescent="0.25">
      <c r="A200" s="3" t="str">
        <f>+Maestra[[#This Row],[SoldTO]]&amp;Maestra[[#This Row],[EAN]]&amp;Maestra[[#This Row],[Canal]]</f>
        <v>1001735087703202221275Retail</v>
      </c>
      <c r="B200" s="3" t="s">
        <v>260</v>
      </c>
      <c r="C200" s="3">
        <v>100173508</v>
      </c>
      <c r="D200" s="5" t="s">
        <v>9</v>
      </c>
      <c r="E200" s="26">
        <v>7703202221275</v>
      </c>
      <c r="F200" s="3">
        <v>939016</v>
      </c>
      <c r="G200" s="24">
        <v>13175</v>
      </c>
      <c r="H200" s="25" t="s">
        <v>274</v>
      </c>
    </row>
    <row r="201" spans="1:8" x14ac:dyDescent="0.25">
      <c r="A201" s="3" t="str">
        <f>+Maestra[[#This Row],[SoldTO]]&amp;Maestra[[#This Row],[EAN]]&amp;Maestra[[#This Row],[Canal]]</f>
        <v>1001735087703202221282Retail</v>
      </c>
      <c r="B201" s="3" t="s">
        <v>260</v>
      </c>
      <c r="C201" s="3">
        <v>100173508</v>
      </c>
      <c r="D201" s="5" t="s">
        <v>9</v>
      </c>
      <c r="E201" s="26">
        <v>7703202221282</v>
      </c>
      <c r="F201" s="3">
        <v>782085</v>
      </c>
      <c r="G201" s="24">
        <v>13189</v>
      </c>
      <c r="H201" s="25" t="s">
        <v>275</v>
      </c>
    </row>
    <row r="202" spans="1:8" x14ac:dyDescent="0.25">
      <c r="A202" s="3" t="str">
        <f>+Maestra[[#This Row],[SoldTO]]&amp;Maestra[[#This Row],[EAN]]&amp;Maestra[[#This Row],[Canal]]</f>
        <v>1001735087703202221091Retail</v>
      </c>
      <c r="B202" s="3" t="s">
        <v>260</v>
      </c>
      <c r="C202" s="3">
        <v>100173508</v>
      </c>
      <c r="D202" s="5" t="s">
        <v>9</v>
      </c>
      <c r="E202" s="26">
        <v>7703202221091</v>
      </c>
      <c r="F202" s="3">
        <v>797130</v>
      </c>
      <c r="G202" s="24">
        <v>13013</v>
      </c>
      <c r="H202" s="25" t="s">
        <v>276</v>
      </c>
    </row>
    <row r="203" spans="1:8" x14ac:dyDescent="0.25">
      <c r="A203" s="3" t="str">
        <f>+Maestra[[#This Row],[SoldTO]]&amp;Maestra[[#This Row],[EAN]]&amp;Maestra[[#This Row],[Canal]]</f>
        <v>1001735087706263200364Retail</v>
      </c>
      <c r="B203" s="3" t="s">
        <v>260</v>
      </c>
      <c r="C203" s="3">
        <v>100173508</v>
      </c>
      <c r="D203" s="5" t="s">
        <v>9</v>
      </c>
      <c r="E203" s="26">
        <v>7706263200364</v>
      </c>
      <c r="F203" s="3" t="e">
        <v>#N/A</v>
      </c>
      <c r="G203" s="24">
        <v>42163</v>
      </c>
      <c r="H203" s="25" t="s">
        <v>277</v>
      </c>
    </row>
    <row r="204" spans="1:8" x14ac:dyDescent="0.25">
      <c r="A204" s="3" t="str">
        <f>+Maestra[[#This Row],[SoldTO]]&amp;Maestra[[#This Row],[EAN]]&amp;Maestra[[#This Row],[Canal]]</f>
        <v>1001735087706263200388Retail</v>
      </c>
      <c r="B204" s="3" t="s">
        <v>260</v>
      </c>
      <c r="C204" s="3">
        <v>100173508</v>
      </c>
      <c r="D204" s="5" t="s">
        <v>9</v>
      </c>
      <c r="E204" s="26">
        <v>7706263200388</v>
      </c>
      <c r="F204" s="3" t="e">
        <v>#N/A</v>
      </c>
      <c r="G204" s="24">
        <v>42403</v>
      </c>
      <c r="H204" s="25" t="s">
        <v>278</v>
      </c>
    </row>
    <row r="205" spans="1:8" x14ac:dyDescent="0.25">
      <c r="A205" s="3" t="str">
        <f>+Maestra[[#This Row],[SoldTO]]&amp;Maestra[[#This Row],[EAN]]&amp;Maestra[[#This Row],[Canal]]</f>
        <v>1001735087703202221169Retail</v>
      </c>
      <c r="B205" s="3" t="s">
        <v>260</v>
      </c>
      <c r="C205" s="3">
        <v>100173508</v>
      </c>
      <c r="D205" s="5" t="s">
        <v>9</v>
      </c>
      <c r="E205" s="26">
        <v>7703202221169</v>
      </c>
      <c r="F205" s="3">
        <v>715503</v>
      </c>
      <c r="G205" s="24">
        <v>13081</v>
      </c>
      <c r="H205" s="25" t="s">
        <v>279</v>
      </c>
    </row>
    <row r="206" spans="1:8" x14ac:dyDescent="0.25">
      <c r="A206" s="3" t="str">
        <f>+Maestra[[#This Row],[SoldTO]]&amp;Maestra[[#This Row],[EAN]]&amp;Maestra[[#This Row],[Canal]]</f>
        <v>1001735087703202221152Retail</v>
      </c>
      <c r="B206" s="3" t="s">
        <v>260</v>
      </c>
      <c r="C206" s="3">
        <v>100173508</v>
      </c>
      <c r="D206" s="5" t="s">
        <v>9</v>
      </c>
      <c r="E206" s="26">
        <v>7703202221152</v>
      </c>
      <c r="F206" s="3">
        <v>715506</v>
      </c>
      <c r="G206" s="24">
        <v>13195</v>
      </c>
      <c r="H206" s="25" t="s">
        <v>280</v>
      </c>
    </row>
    <row r="207" spans="1:8" x14ac:dyDescent="0.25">
      <c r="A207" s="3" t="str">
        <f>+Maestra[[#This Row],[SoldTO]]&amp;Maestra[[#This Row],[EAN]]&amp;Maestra[[#This Row],[Canal]]</f>
        <v>1001735087703202221176Retail</v>
      </c>
      <c r="B207" s="3" t="s">
        <v>260</v>
      </c>
      <c r="C207" s="3">
        <v>100173508</v>
      </c>
      <c r="D207" s="5" t="s">
        <v>9</v>
      </c>
      <c r="E207" s="26">
        <v>7703202221176</v>
      </c>
      <c r="F207" s="3" t="e">
        <v>#N/A</v>
      </c>
      <c r="G207" s="24">
        <v>13179</v>
      </c>
      <c r="H207" s="25" t="s">
        <v>281</v>
      </c>
    </row>
    <row r="208" spans="1:8" x14ac:dyDescent="0.25">
      <c r="A208" s="3" t="str">
        <f>+Maestra[[#This Row],[SoldTO]]&amp;Maestra[[#This Row],[EAN]]&amp;Maestra[[#This Row],[Canal]]</f>
        <v>1001735083582910009900Retail</v>
      </c>
      <c r="B208" s="3" t="s">
        <v>260</v>
      </c>
      <c r="C208" s="3">
        <v>100173508</v>
      </c>
      <c r="D208" s="5" t="s">
        <v>9</v>
      </c>
      <c r="E208" s="26">
        <v>3582910009900</v>
      </c>
      <c r="F208" s="3">
        <v>873229</v>
      </c>
      <c r="G208" s="24">
        <v>14063</v>
      </c>
      <c r="H208" s="25" t="s">
        <v>282</v>
      </c>
    </row>
    <row r="209" spans="1:8" x14ac:dyDescent="0.25">
      <c r="A209" s="3" t="str">
        <f>+Maestra[[#This Row],[SoldTO]]&amp;Maestra[[#This Row],[EAN]]&amp;Maestra[[#This Row],[Canal]]</f>
        <v>1001735087702771001561Retail</v>
      </c>
      <c r="B209" s="3" t="s">
        <v>260</v>
      </c>
      <c r="C209" s="3">
        <v>100173508</v>
      </c>
      <c r="D209" s="5" t="s">
        <v>9</v>
      </c>
      <c r="E209" s="26">
        <v>7702771001561</v>
      </c>
      <c r="F209" s="3">
        <v>873239</v>
      </c>
      <c r="G209" s="24">
        <v>14068</v>
      </c>
      <c r="H209" s="25" t="s">
        <v>283</v>
      </c>
    </row>
    <row r="210" spans="1:8" x14ac:dyDescent="0.25">
      <c r="A210" s="3" t="str">
        <f>+Maestra[[#This Row],[SoldTO]]&amp;Maestra[[#This Row],[EAN]]&amp;Maestra[[#This Row],[Canal]]</f>
        <v>1001735087703202003475Retail</v>
      </c>
      <c r="B210" s="3" t="s">
        <v>260</v>
      </c>
      <c r="C210" s="3">
        <v>100173508</v>
      </c>
      <c r="D210" s="5" t="s">
        <v>9</v>
      </c>
      <c r="E210" s="26">
        <v>7703202003475</v>
      </c>
      <c r="F210" s="3">
        <v>650554</v>
      </c>
      <c r="G210" s="24">
        <v>35232</v>
      </c>
      <c r="H210" s="25" t="s">
        <v>284</v>
      </c>
    </row>
    <row r="211" spans="1:8" x14ac:dyDescent="0.25">
      <c r="A211" s="3" t="str">
        <f>+Maestra[[#This Row],[SoldTO]]&amp;Maestra[[#This Row],[EAN]]&amp;Maestra[[#This Row],[Canal]]</f>
        <v>1001735087501165007956Retail</v>
      </c>
      <c r="B211" s="3" t="s">
        <v>260</v>
      </c>
      <c r="C211" s="3">
        <v>100173508</v>
      </c>
      <c r="D211" s="5" t="s">
        <v>9</v>
      </c>
      <c r="E211" s="26">
        <v>7501165007956</v>
      </c>
      <c r="F211" s="3">
        <v>655678</v>
      </c>
      <c r="G211" s="24">
        <v>35214</v>
      </c>
      <c r="H211" s="25" t="s">
        <v>285</v>
      </c>
    </row>
    <row r="212" spans="1:8" x14ac:dyDescent="0.25">
      <c r="A212" s="3" t="str">
        <f>+Maestra[[#This Row],[SoldTO]]&amp;Maestra[[#This Row],[EAN]]&amp;Maestra[[#This Row],[Canal]]</f>
        <v>1001735087703202221800Retail</v>
      </c>
      <c r="B212" s="3" t="s">
        <v>260</v>
      </c>
      <c r="C212" s="3">
        <v>100173508</v>
      </c>
      <c r="D212" s="5" t="s">
        <v>9</v>
      </c>
      <c r="E212" s="26">
        <v>7703202221800</v>
      </c>
      <c r="F212" s="3" t="e">
        <v>#N/A</v>
      </c>
      <c r="G212" s="24">
        <v>276272</v>
      </c>
      <c r="H212" s="25" t="s">
        <v>286</v>
      </c>
    </row>
    <row r="213" spans="1:8" x14ac:dyDescent="0.25">
      <c r="A213" s="3" t="str">
        <f>+Maestra[[#This Row],[SoldTO]]&amp;Maestra[[#This Row],[EAN]]&amp;Maestra[[#This Row],[Canal]]</f>
        <v>1001735087591044401036Retail</v>
      </c>
      <c r="B213" s="3" t="s">
        <v>260</v>
      </c>
      <c r="C213" s="3">
        <v>100173508</v>
      </c>
      <c r="D213" s="5" t="s">
        <v>9</v>
      </c>
      <c r="E213" s="26">
        <v>7591044401036</v>
      </c>
      <c r="F213" s="3">
        <v>723871</v>
      </c>
      <c r="G213" s="24">
        <v>77148</v>
      </c>
      <c r="H213" s="25" t="s">
        <v>287</v>
      </c>
    </row>
    <row r="214" spans="1:8" x14ac:dyDescent="0.25">
      <c r="A214" s="3" t="str">
        <f>+Maestra[[#This Row],[SoldTO]]&amp;Maestra[[#This Row],[EAN]]&amp;Maestra[[#This Row],[Canal]]</f>
        <v>1001735087501165010444Retail</v>
      </c>
      <c r="B214" s="3" t="s">
        <v>260</v>
      </c>
      <c r="C214" s="3">
        <v>100173508</v>
      </c>
      <c r="D214" s="5" t="s">
        <v>9</v>
      </c>
      <c r="E214" s="26">
        <v>7501165010444</v>
      </c>
      <c r="F214" s="3">
        <v>600723</v>
      </c>
      <c r="G214" s="24">
        <v>35230</v>
      </c>
      <c r="H214" s="25" t="s">
        <v>288</v>
      </c>
    </row>
    <row r="215" spans="1:8" x14ac:dyDescent="0.25">
      <c r="A215" s="3" t="str">
        <f>+Maestra[[#This Row],[SoldTO]]&amp;Maestra[[#This Row],[EAN]]&amp;Maestra[[#This Row],[Canal]]</f>
        <v>1001735087591044009225Retail</v>
      </c>
      <c r="B215" s="3" t="s">
        <v>260</v>
      </c>
      <c r="C215" s="3">
        <v>100173508</v>
      </c>
      <c r="D215" s="5" t="s">
        <v>9</v>
      </c>
      <c r="E215" s="26">
        <v>7591044009225</v>
      </c>
      <c r="F215" s="3">
        <v>321589</v>
      </c>
      <c r="G215" s="24">
        <v>35054</v>
      </c>
      <c r="H215" s="25" t="s">
        <v>289</v>
      </c>
    </row>
    <row r="216" spans="1:8" x14ac:dyDescent="0.25">
      <c r="A216" s="3" t="str">
        <f>+Maestra[[#This Row],[SoldTO]]&amp;Maestra[[#This Row],[EAN]]&amp;Maestra[[#This Row],[Canal]]</f>
        <v>1001735087591044007191Retail</v>
      </c>
      <c r="B216" s="3" t="s">
        <v>260</v>
      </c>
      <c r="C216" s="3">
        <v>100173508</v>
      </c>
      <c r="D216" s="5" t="s">
        <v>9</v>
      </c>
      <c r="E216" s="26">
        <v>7591044007191</v>
      </c>
      <c r="F216" s="3">
        <v>120786</v>
      </c>
      <c r="G216" s="24">
        <v>35057</v>
      </c>
      <c r="H216" s="25" t="s">
        <v>290</v>
      </c>
    </row>
    <row r="217" spans="1:8" x14ac:dyDescent="0.25">
      <c r="A217" s="3" t="str">
        <f>+Maestra[[#This Row],[SoldTO]]&amp;Maestra[[#This Row],[EAN]]&amp;Maestra[[#This Row],[Canal]]</f>
        <v>1001735087591044009447Retail</v>
      </c>
      <c r="B217" s="3" t="s">
        <v>260</v>
      </c>
      <c r="C217" s="3">
        <v>100173508</v>
      </c>
      <c r="D217" s="5" t="s">
        <v>9</v>
      </c>
      <c r="E217" s="26">
        <v>7591044009447</v>
      </c>
      <c r="F217" s="3">
        <v>120777</v>
      </c>
      <c r="G217" s="24">
        <v>35056</v>
      </c>
      <c r="H217" s="25" t="s">
        <v>291</v>
      </c>
    </row>
    <row r="218" spans="1:8" x14ac:dyDescent="0.25">
      <c r="A218" s="3" t="str">
        <f>+Maestra[[#This Row],[SoldTO]]&amp;Maestra[[#This Row],[EAN]]&amp;Maestra[[#This Row],[Canal]]</f>
        <v>1001734677703202221275Retail</v>
      </c>
      <c r="B218" s="23" t="s">
        <v>292</v>
      </c>
      <c r="C218" s="23">
        <v>100173467</v>
      </c>
      <c r="D218" s="22" t="s">
        <v>9</v>
      </c>
      <c r="E218" s="23">
        <v>7703202221275</v>
      </c>
      <c r="F218" s="23">
        <v>782074</v>
      </c>
      <c r="G218" s="22">
        <v>7629</v>
      </c>
      <c r="H218" s="22" t="s">
        <v>293</v>
      </c>
    </row>
    <row r="219" spans="1:8" x14ac:dyDescent="0.25">
      <c r="A219" s="3" t="str">
        <f>+Maestra[[#This Row],[SoldTO]]&amp;Maestra[[#This Row],[EAN]]&amp;Maestra[[#This Row],[Canal]]</f>
        <v>1001734997703202221244Retail</v>
      </c>
      <c r="B219" s="23" t="s">
        <v>35</v>
      </c>
      <c r="C219" s="23">
        <v>100173499</v>
      </c>
      <c r="D219" s="22" t="s">
        <v>9</v>
      </c>
      <c r="E219" s="23">
        <v>7703202221244</v>
      </c>
      <c r="F219" s="23">
        <v>782065</v>
      </c>
      <c r="G219" s="22">
        <v>11729</v>
      </c>
      <c r="H219" s="22" t="s">
        <v>36</v>
      </c>
    </row>
    <row r="220" spans="1:8" x14ac:dyDescent="0.25">
      <c r="A220" s="3" t="str">
        <f>+Maestra[[#This Row],[SoldTO]]&amp;Maestra[[#This Row],[EAN]]&amp;Maestra[[#This Row],[Canal]]</f>
        <v>1001734997703202221329Retail</v>
      </c>
      <c r="B220" s="23" t="s">
        <v>35</v>
      </c>
      <c r="C220" s="23">
        <v>100173499</v>
      </c>
      <c r="D220" s="22" t="s">
        <v>9</v>
      </c>
      <c r="E220" s="23">
        <v>7703202221329</v>
      </c>
      <c r="F220" s="23">
        <v>782092</v>
      </c>
      <c r="G220" s="22">
        <v>11731</v>
      </c>
      <c r="H220" s="22" t="s">
        <v>37</v>
      </c>
    </row>
    <row r="221" spans="1:8" x14ac:dyDescent="0.25">
      <c r="A221" s="3" t="str">
        <f>+Maestra[[#This Row],[SoldTO]]&amp;Maestra[[#This Row],[EAN]]&amp;Maestra[[#This Row],[Canal]]</f>
        <v>1001734997703202221305Retail</v>
      </c>
      <c r="B221" s="23" t="s">
        <v>35</v>
      </c>
      <c r="C221" s="23">
        <v>100173499</v>
      </c>
      <c r="D221" s="22" t="s">
        <v>9</v>
      </c>
      <c r="E221" s="23">
        <v>7703202221305</v>
      </c>
      <c r="F221" s="23">
        <v>782086</v>
      </c>
      <c r="G221" s="22">
        <v>11732</v>
      </c>
      <c r="H221" s="22" t="s">
        <v>37</v>
      </c>
    </row>
    <row r="222" spans="1:8" x14ac:dyDescent="0.25">
      <c r="A222" s="3" t="str">
        <f>+Maestra[[#This Row],[SoldTO]]&amp;Maestra[[#This Row],[EAN]]&amp;Maestra[[#This Row],[Canal]]</f>
        <v>1001734997703202221312Retail</v>
      </c>
      <c r="B222" s="23" t="s">
        <v>35</v>
      </c>
      <c r="C222" s="23">
        <v>100173499</v>
      </c>
      <c r="D222" s="22" t="s">
        <v>9</v>
      </c>
      <c r="E222" s="23">
        <v>7703202221312</v>
      </c>
      <c r="F222" s="23">
        <v>782091</v>
      </c>
      <c r="G222" s="22">
        <v>11733</v>
      </c>
      <c r="H222" s="22" t="s">
        <v>37</v>
      </c>
    </row>
    <row r="223" spans="1:8" x14ac:dyDescent="0.25">
      <c r="A223" s="3" t="str">
        <f>+Maestra[[#This Row],[SoldTO]]&amp;Maestra[[#This Row],[EAN]]&amp;Maestra[[#This Row],[Canal]]</f>
        <v>1001734997703202221169Retail</v>
      </c>
      <c r="B223" s="23" t="s">
        <v>35</v>
      </c>
      <c r="C223" s="23">
        <v>100173499</v>
      </c>
      <c r="D223" s="22" t="s">
        <v>9</v>
      </c>
      <c r="E223" s="23">
        <v>7703202221169</v>
      </c>
      <c r="F223" s="23">
        <v>715503</v>
      </c>
      <c r="G223" s="22">
        <v>13221</v>
      </c>
      <c r="H223" s="22" t="s">
        <v>38</v>
      </c>
    </row>
    <row r="224" spans="1:8" x14ac:dyDescent="0.25">
      <c r="A224" s="3" t="str">
        <f>+Maestra[[#This Row],[SoldTO]]&amp;Maestra[[#This Row],[EAN]]&amp;Maestra[[#This Row],[Canal]]</f>
        <v>1001734997591044007191Retail</v>
      </c>
      <c r="B224" s="23" t="s">
        <v>35</v>
      </c>
      <c r="C224" s="23">
        <v>100173499</v>
      </c>
      <c r="D224" s="22" t="s">
        <v>9</v>
      </c>
      <c r="E224" s="23">
        <v>7591044007191</v>
      </c>
      <c r="F224" s="23">
        <v>120786</v>
      </c>
      <c r="G224" s="22">
        <v>15124</v>
      </c>
      <c r="H224" s="22" t="s">
        <v>39</v>
      </c>
    </row>
    <row r="225" spans="1:8" x14ac:dyDescent="0.25">
      <c r="A225" s="3" t="str">
        <f>+Maestra[[#This Row],[SoldTO]]&amp;Maestra[[#This Row],[EAN]]&amp;Maestra[[#This Row],[Canal]]</f>
        <v>1001734997591044009447Retail</v>
      </c>
      <c r="B225" s="23" t="s">
        <v>35</v>
      </c>
      <c r="C225" s="23">
        <v>100173499</v>
      </c>
      <c r="D225" s="22" t="s">
        <v>9</v>
      </c>
      <c r="E225" s="23">
        <v>7591044009447</v>
      </c>
      <c r="F225" s="23">
        <v>120777</v>
      </c>
      <c r="G225" s="22">
        <v>15129</v>
      </c>
      <c r="H225" s="22" t="s">
        <v>40</v>
      </c>
    </row>
    <row r="226" spans="1:8" x14ac:dyDescent="0.25">
      <c r="A226" s="3" t="str">
        <f>+Maestra[[#This Row],[SoldTO]]&amp;Maestra[[#This Row],[EAN]]&amp;Maestra[[#This Row],[Canal]]</f>
        <v>1001734997703202221091Retail</v>
      </c>
      <c r="B226" s="23" t="s">
        <v>35</v>
      </c>
      <c r="C226" s="23">
        <v>100173499</v>
      </c>
      <c r="D226" s="22" t="s">
        <v>9</v>
      </c>
      <c r="E226" s="23">
        <v>7703202221091</v>
      </c>
      <c r="F226" s="23">
        <v>797130</v>
      </c>
      <c r="G226" s="22">
        <v>21977</v>
      </c>
      <c r="H226" s="22" t="s">
        <v>41</v>
      </c>
    </row>
    <row r="227" spans="1:8" x14ac:dyDescent="0.25">
      <c r="A227" s="3" t="str">
        <f>+Maestra[[#This Row],[SoldTO]]&amp;Maestra[[#This Row],[EAN]]&amp;Maestra[[#This Row],[Canal]]</f>
        <v>1001734997591044008952Retail</v>
      </c>
      <c r="B227" s="23" t="s">
        <v>35</v>
      </c>
      <c r="C227" s="23">
        <v>100173499</v>
      </c>
      <c r="D227" s="22" t="s">
        <v>9</v>
      </c>
      <c r="E227" s="23">
        <v>7591044008952</v>
      </c>
      <c r="F227" s="23">
        <v>666269</v>
      </c>
      <c r="G227" s="22">
        <v>22878</v>
      </c>
      <c r="H227" s="22" t="s">
        <v>42</v>
      </c>
    </row>
    <row r="228" spans="1:8" x14ac:dyDescent="0.25">
      <c r="A228" s="3" t="str">
        <f>+Maestra[[#This Row],[SoldTO]]&amp;Maestra[[#This Row],[EAN]]&amp;Maestra[[#This Row],[Canal]]</f>
        <v>1001734997501165007956Retail</v>
      </c>
      <c r="B228" s="23" t="s">
        <v>35</v>
      </c>
      <c r="C228" s="23">
        <v>100173499</v>
      </c>
      <c r="D228" s="22" t="s">
        <v>9</v>
      </c>
      <c r="E228" s="23">
        <v>7501165007956</v>
      </c>
      <c r="F228" s="23">
        <v>655678</v>
      </c>
      <c r="G228" s="22">
        <v>23893</v>
      </c>
      <c r="H228" s="22" t="s">
        <v>43</v>
      </c>
    </row>
    <row r="229" spans="1:8" x14ac:dyDescent="0.25">
      <c r="A229" s="3" t="str">
        <f>+Maestra[[#This Row],[SoldTO]]&amp;Maestra[[#This Row],[EAN]]&amp;Maestra[[#This Row],[Canal]]</f>
        <v>1001734997591044401036Retail</v>
      </c>
      <c r="B229" s="23" t="s">
        <v>35</v>
      </c>
      <c r="C229" s="23">
        <v>100173499</v>
      </c>
      <c r="D229" s="22" t="s">
        <v>9</v>
      </c>
      <c r="E229" s="23">
        <v>7591044401036</v>
      </c>
      <c r="F229" s="23">
        <v>723871</v>
      </c>
      <c r="G229" s="22">
        <v>25528</v>
      </c>
      <c r="H229" s="22" t="s">
        <v>44</v>
      </c>
    </row>
    <row r="230" spans="1:8" x14ac:dyDescent="0.25">
      <c r="A230" s="3" t="str">
        <f>+Maestra[[#This Row],[SoldTO]]&amp;Maestra[[#This Row],[EAN]]&amp;Maestra[[#This Row],[Canal]]</f>
        <v>1001734997591044009010Retail</v>
      </c>
      <c r="B230" s="23" t="s">
        <v>35</v>
      </c>
      <c r="C230" s="23">
        <v>100173499</v>
      </c>
      <c r="D230" s="22" t="s">
        <v>9</v>
      </c>
      <c r="E230" s="23">
        <v>7591044009010</v>
      </c>
      <c r="F230" s="23">
        <v>732308</v>
      </c>
      <c r="G230" s="22">
        <v>25854</v>
      </c>
      <c r="H230" s="22" t="s">
        <v>45</v>
      </c>
    </row>
    <row r="231" spans="1:8" x14ac:dyDescent="0.25">
      <c r="A231" s="3" t="str">
        <f>+Maestra[[#This Row],[SoldTO]]&amp;Maestra[[#This Row],[EAN]]&amp;Maestra[[#This Row],[Canal]]</f>
        <v>1001734997703202010329Retail</v>
      </c>
      <c r="B231" s="23" t="s">
        <v>35</v>
      </c>
      <c r="C231" s="23">
        <v>100173499</v>
      </c>
      <c r="D231" s="22" t="s">
        <v>9</v>
      </c>
      <c r="E231" s="23">
        <v>7703202010329</v>
      </c>
      <c r="F231" s="23">
        <v>341667</v>
      </c>
      <c r="G231" s="22">
        <v>25860</v>
      </c>
      <c r="H231" s="22" t="s">
        <v>46</v>
      </c>
    </row>
    <row r="232" spans="1:8" x14ac:dyDescent="0.25">
      <c r="A232" s="3" t="str">
        <f>+Maestra[[#This Row],[SoldTO]]&amp;Maestra[[#This Row],[EAN]]&amp;Maestra[[#This Row],[Canal]]</f>
        <v>1001734997703202221220Retail</v>
      </c>
      <c r="B232" s="23" t="s">
        <v>35</v>
      </c>
      <c r="C232" s="23">
        <v>100173499</v>
      </c>
      <c r="D232" s="22" t="s">
        <v>9</v>
      </c>
      <c r="E232" s="23">
        <v>7703202221220</v>
      </c>
      <c r="F232" s="23">
        <v>781955</v>
      </c>
      <c r="G232" s="22">
        <v>26120</v>
      </c>
      <c r="H232" s="22" t="s">
        <v>47</v>
      </c>
    </row>
    <row r="233" spans="1:8" x14ac:dyDescent="0.25">
      <c r="A233" s="3" t="str">
        <f>+Maestra[[#This Row],[SoldTO]]&amp;Maestra[[#This Row],[EAN]]&amp;Maestra[[#This Row],[Canal]]</f>
        <v>1001734997703202221336Retail</v>
      </c>
      <c r="B233" s="23" t="s">
        <v>35</v>
      </c>
      <c r="C233" s="23">
        <v>100173499</v>
      </c>
      <c r="D233" s="22" t="s">
        <v>9</v>
      </c>
      <c r="E233" s="23">
        <v>7703202221336</v>
      </c>
      <c r="F233" s="23">
        <v>782093</v>
      </c>
      <c r="G233" s="22">
        <v>46950</v>
      </c>
      <c r="H233" s="22" t="s">
        <v>48</v>
      </c>
    </row>
    <row r="234" spans="1:8" x14ac:dyDescent="0.25">
      <c r="A234" s="3" t="str">
        <f>+Maestra[[#This Row],[SoldTO]]&amp;Maestra[[#This Row],[EAN]]&amp;Maestra[[#This Row],[Canal]]</f>
        <v>1001734993582910009900Retail</v>
      </c>
      <c r="B234" s="23" t="s">
        <v>35</v>
      </c>
      <c r="C234" s="23">
        <v>100173499</v>
      </c>
      <c r="D234" s="22" t="s">
        <v>9</v>
      </c>
      <c r="E234" s="23">
        <v>3582910009900</v>
      </c>
      <c r="F234" s="23">
        <v>873229</v>
      </c>
      <c r="G234" s="22">
        <v>47409</v>
      </c>
      <c r="H234" s="22" t="s">
        <v>49</v>
      </c>
    </row>
    <row r="235" spans="1:8" x14ac:dyDescent="0.25">
      <c r="A235" s="3" t="str">
        <f>+Maestra[[#This Row],[SoldTO]]&amp;Maestra[[#This Row],[EAN]]&amp;Maestra[[#This Row],[Canal]]</f>
        <v>1001734677703202221275Retail</v>
      </c>
      <c r="B235" s="23" t="s">
        <v>292</v>
      </c>
      <c r="C235" s="23">
        <v>100173467</v>
      </c>
      <c r="D235" s="22" t="s">
        <v>9</v>
      </c>
      <c r="E235" s="23">
        <v>7703202221275</v>
      </c>
      <c r="F235" s="23">
        <v>939016</v>
      </c>
      <c r="G235" s="22">
        <v>7629</v>
      </c>
      <c r="H235" s="22" t="s">
        <v>293</v>
      </c>
    </row>
    <row r="236" spans="1:8" x14ac:dyDescent="0.25">
      <c r="A236" s="3" t="str">
        <f>+Maestra[[#This Row],[SoldTO]]&amp;Maestra[[#This Row],[EAN]]&amp;Maestra[[#This Row],[Canal]]</f>
        <v>1001734997703202221176Retail</v>
      </c>
      <c r="B236" s="23" t="s">
        <v>35</v>
      </c>
      <c r="C236" s="23">
        <v>100173499</v>
      </c>
      <c r="D236" s="22" t="s">
        <v>9</v>
      </c>
      <c r="E236" s="23">
        <v>7703202221176</v>
      </c>
      <c r="F236" s="23">
        <v>715717</v>
      </c>
      <c r="G236" s="22">
        <v>50348</v>
      </c>
      <c r="H236" s="22" t="s">
        <v>51</v>
      </c>
    </row>
    <row r="237" spans="1:8" x14ac:dyDescent="0.25">
      <c r="A237" s="3" t="str">
        <f>+Maestra[[#This Row],[SoldTO]]&amp;Maestra[[#This Row],[EAN]]&amp;Maestra[[#This Row],[Canal]]</f>
        <v>1001734997703381002146Retail</v>
      </c>
      <c r="B237" s="23" t="s">
        <v>35</v>
      </c>
      <c r="C237" s="23">
        <v>100173499</v>
      </c>
      <c r="D237" s="22" t="s">
        <v>9</v>
      </c>
      <c r="E237" s="23">
        <v>7703381002146</v>
      </c>
      <c r="F237" s="23">
        <v>715717</v>
      </c>
      <c r="G237" s="22">
        <v>50348</v>
      </c>
      <c r="H237" s="22" t="s">
        <v>51</v>
      </c>
    </row>
    <row r="238" spans="1:8" x14ac:dyDescent="0.25">
      <c r="A238" s="3" t="str">
        <f>+Maestra[[#This Row],[SoldTO]]&amp;Maestra[[#This Row],[EAN]]&amp;Maestra[[#This Row],[Canal]]</f>
        <v>1001734997703202221152Retail</v>
      </c>
      <c r="B238" s="23" t="s">
        <v>35</v>
      </c>
      <c r="C238" s="23">
        <v>100173499</v>
      </c>
      <c r="D238" s="22" t="s">
        <v>9</v>
      </c>
      <c r="E238" s="23">
        <v>7703202221152</v>
      </c>
      <c r="F238" s="23">
        <v>715506</v>
      </c>
      <c r="G238" s="22">
        <v>58826</v>
      </c>
      <c r="H238" s="22" t="s">
        <v>38</v>
      </c>
    </row>
    <row r="239" spans="1:8" x14ac:dyDescent="0.25">
      <c r="A239" s="3" t="str">
        <f>+Maestra[[#This Row],[SoldTO]]&amp;Maestra[[#This Row],[EAN]]&amp;Maestra[[#This Row],[Canal]]</f>
        <v>1001734997795312100090Retail</v>
      </c>
      <c r="B239" s="23" t="s">
        <v>35</v>
      </c>
      <c r="C239" s="23">
        <v>100173499</v>
      </c>
      <c r="D239" s="22" t="s">
        <v>9</v>
      </c>
      <c r="E239" s="23">
        <v>7795312100090</v>
      </c>
      <c r="F239" s="23">
        <v>785678</v>
      </c>
      <c r="G239" s="22">
        <v>68585</v>
      </c>
      <c r="H239" s="22" t="s">
        <v>52</v>
      </c>
    </row>
    <row r="240" spans="1:8" x14ac:dyDescent="0.25">
      <c r="A240" s="3" t="str">
        <f>+Maestra[[#This Row],[SoldTO]]&amp;Maestra[[#This Row],[EAN]]&amp;Maestra[[#This Row],[Canal]]</f>
        <v>1001734997703202221800Retail</v>
      </c>
      <c r="B240" s="23" t="s">
        <v>35</v>
      </c>
      <c r="C240" s="23">
        <v>100173499</v>
      </c>
      <c r="D240" s="22" t="s">
        <v>9</v>
      </c>
      <c r="E240" s="23">
        <v>7703202221800</v>
      </c>
      <c r="F240" s="23">
        <v>893499</v>
      </c>
      <c r="G240" s="22">
        <v>84797</v>
      </c>
      <c r="H240" s="22" t="s">
        <v>53</v>
      </c>
    </row>
    <row r="241" spans="1:8" x14ac:dyDescent="0.25">
      <c r="A241" s="3" t="str">
        <f>+Maestra[[#This Row],[SoldTO]]&amp;Maestra[[#This Row],[EAN]]&amp;Maestra[[#This Row],[Canal]]</f>
        <v>1001734997703202221381Retail</v>
      </c>
      <c r="B241" s="23" t="s">
        <v>35</v>
      </c>
      <c r="C241" s="23">
        <v>100173499</v>
      </c>
      <c r="D241" s="22" t="s">
        <v>9</v>
      </c>
      <c r="E241" s="23">
        <v>7703202221381</v>
      </c>
      <c r="F241" s="23">
        <v>782089</v>
      </c>
      <c r="G241" s="22">
        <v>100904</v>
      </c>
      <c r="H241" s="22" t="s">
        <v>54</v>
      </c>
    </row>
    <row r="242" spans="1:8" x14ac:dyDescent="0.25">
      <c r="A242" s="3" t="str">
        <f>+Maestra[[#This Row],[SoldTO]]&amp;Maestra[[#This Row],[EAN]]&amp;Maestra[[#This Row],[Canal]]</f>
        <v>1001734997703202221428Retail</v>
      </c>
      <c r="B242" s="23" t="s">
        <v>35</v>
      </c>
      <c r="C242" s="23">
        <v>100173499</v>
      </c>
      <c r="D242" s="22" t="s">
        <v>9</v>
      </c>
      <c r="E242" s="23">
        <v>7703202221428</v>
      </c>
      <c r="F242" s="23">
        <v>782090</v>
      </c>
      <c r="G242" s="22">
        <v>100905</v>
      </c>
      <c r="H242" s="22" t="s">
        <v>55</v>
      </c>
    </row>
    <row r="243" spans="1:8" x14ac:dyDescent="0.25">
      <c r="A243" s="3" t="str">
        <f>+Maestra[[#This Row],[SoldTO]]&amp;Maestra[[#This Row],[EAN]]&amp;Maestra[[#This Row],[Canal]]</f>
        <v>1001734997702771001561Retail</v>
      </c>
      <c r="B243" s="23" t="s">
        <v>35</v>
      </c>
      <c r="C243" s="23">
        <v>100173499</v>
      </c>
      <c r="D243" s="22" t="s">
        <v>9</v>
      </c>
      <c r="E243" s="23">
        <v>7702771001561</v>
      </c>
      <c r="F243" s="23">
        <v>873239</v>
      </c>
      <c r="G243" s="22">
        <v>110323</v>
      </c>
      <c r="H243" s="22" t="s">
        <v>56</v>
      </c>
    </row>
    <row r="244" spans="1:8" x14ac:dyDescent="0.25">
      <c r="A244" s="3" t="str">
        <f>+Maestra[[#This Row],[SoldTO]]&amp;Maestra[[#This Row],[EAN]]&amp;Maestra[[#This Row],[Canal]]</f>
        <v>1001734997501165010444Retail</v>
      </c>
      <c r="B244" s="23" t="s">
        <v>35</v>
      </c>
      <c r="C244" s="23">
        <v>100173499</v>
      </c>
      <c r="D244" s="22" t="s">
        <v>9</v>
      </c>
      <c r="E244" s="23">
        <v>7501165010444</v>
      </c>
      <c r="F244" s="23">
        <v>600723</v>
      </c>
      <c r="G244" s="22">
        <v>118952</v>
      </c>
      <c r="H244" s="22" t="s">
        <v>57</v>
      </c>
    </row>
    <row r="245" spans="1:8" x14ac:dyDescent="0.25">
      <c r="A245" s="3" t="str">
        <f>+Maestra[[#This Row],[SoldTO]]&amp;Maestra[[#This Row],[EAN]]&amp;Maestra[[#This Row],[Canal]]</f>
        <v>1001734997703202221282Retail</v>
      </c>
      <c r="B245" s="23" t="s">
        <v>35</v>
      </c>
      <c r="C245" s="23">
        <v>100173499</v>
      </c>
      <c r="D245" s="22" t="s">
        <v>9</v>
      </c>
      <c r="E245" s="23">
        <v>7703202221282</v>
      </c>
      <c r="F245" s="23">
        <v>782085</v>
      </c>
      <c r="G245" s="22">
        <v>120610</v>
      </c>
      <c r="H245" s="22" t="s">
        <v>58</v>
      </c>
    </row>
    <row r="246" spans="1:8" x14ac:dyDescent="0.25">
      <c r="A246" s="3" t="str">
        <f>+Maestra[[#This Row],[SoldTO]]&amp;Maestra[[#This Row],[EAN]]&amp;Maestra[[#This Row],[Canal]]</f>
        <v>1001734997703202003475Retail</v>
      </c>
      <c r="B246" s="23" t="s">
        <v>35</v>
      </c>
      <c r="C246" s="23">
        <v>100173499</v>
      </c>
      <c r="D246" s="22" t="s">
        <v>9</v>
      </c>
      <c r="E246" s="23">
        <v>7703202003475</v>
      </c>
      <c r="F246" s="23">
        <v>650554</v>
      </c>
      <c r="G246" s="22">
        <v>120771</v>
      </c>
      <c r="H246" s="22" t="s">
        <v>59</v>
      </c>
    </row>
    <row r="247" spans="1:8" x14ac:dyDescent="0.25">
      <c r="A247" s="3" t="str">
        <f>+Maestra[[#This Row],[SoldTO]]&amp;Maestra[[#This Row],[EAN]]&amp;Maestra[[#This Row],[Canal]]</f>
        <v>1001734993664798064728Retail</v>
      </c>
      <c r="B247" s="23" t="s">
        <v>35</v>
      </c>
      <c r="C247" s="23">
        <v>100173499</v>
      </c>
      <c r="D247" s="22" t="s">
        <v>9</v>
      </c>
      <c r="E247" s="23">
        <v>3664798064728</v>
      </c>
      <c r="F247" s="23">
        <v>846778</v>
      </c>
      <c r="G247" s="22">
        <v>156006</v>
      </c>
      <c r="H247" s="27" t="s">
        <v>33</v>
      </c>
    </row>
    <row r="248" spans="1:8" x14ac:dyDescent="0.25">
      <c r="A248" s="3" t="str">
        <f>+Maestra[[#This Row],[SoldTO]]&amp;Maestra[[#This Row],[EAN]]&amp;Maestra[[#This Row],[Canal]]</f>
        <v>1001735107703202221275Retail</v>
      </c>
      <c r="B248" s="23" t="s">
        <v>294</v>
      </c>
      <c r="C248" s="23">
        <v>100173510</v>
      </c>
      <c r="D248" s="22" t="s">
        <v>9</v>
      </c>
      <c r="E248" s="23">
        <v>7703202221275</v>
      </c>
      <c r="F248" s="23">
        <v>782074</v>
      </c>
      <c r="G248" s="22">
        <v>100011666</v>
      </c>
      <c r="H248" s="22" t="s">
        <v>295</v>
      </c>
    </row>
    <row r="249" spans="1:8" x14ac:dyDescent="0.25">
      <c r="A249" s="3" t="str">
        <f>+Maestra[[#This Row],[SoldTO]]&amp;Maestra[[#This Row],[EAN]]&amp;Maestra[[#This Row],[Canal]]</f>
        <v>1001735107591044008952Retail</v>
      </c>
      <c r="B249" s="23" t="s">
        <v>294</v>
      </c>
      <c r="C249" s="23">
        <v>100173510</v>
      </c>
      <c r="D249" s="22" t="s">
        <v>9</v>
      </c>
      <c r="E249" s="23">
        <v>7591044008952</v>
      </c>
      <c r="F249" s="23">
        <v>666269</v>
      </c>
      <c r="G249" s="22">
        <v>100000317</v>
      </c>
      <c r="H249" s="22" t="s">
        <v>296</v>
      </c>
    </row>
    <row r="250" spans="1:8" x14ac:dyDescent="0.25">
      <c r="A250" s="3" t="str">
        <f>+Maestra[[#This Row],[SoldTO]]&amp;Maestra[[#This Row],[EAN]]&amp;Maestra[[#This Row],[Canal]]</f>
        <v>1001735107591044009010Retail</v>
      </c>
      <c r="B250" s="23" t="s">
        <v>294</v>
      </c>
      <c r="C250" s="23">
        <v>100173510</v>
      </c>
      <c r="D250" s="22" t="s">
        <v>9</v>
      </c>
      <c r="E250" s="23">
        <v>7591044009010</v>
      </c>
      <c r="F250" s="23">
        <v>732308</v>
      </c>
      <c r="G250" s="22">
        <v>100000318</v>
      </c>
      <c r="H250" s="22" t="s">
        <v>297</v>
      </c>
    </row>
    <row r="251" spans="1:8" x14ac:dyDescent="0.25">
      <c r="A251" s="3" t="str">
        <f>+Maestra[[#This Row],[SoldTO]]&amp;Maestra[[#This Row],[EAN]]&amp;Maestra[[#This Row],[Canal]]</f>
        <v>1001735107591044401036Retail</v>
      </c>
      <c r="B251" s="23" t="s">
        <v>294</v>
      </c>
      <c r="C251" s="23">
        <v>100173510</v>
      </c>
      <c r="D251" s="22" t="s">
        <v>9</v>
      </c>
      <c r="E251" s="23">
        <v>7591044401036</v>
      </c>
      <c r="F251" s="23">
        <v>723871</v>
      </c>
      <c r="G251" s="22">
        <v>100000367</v>
      </c>
      <c r="H251" s="22" t="s">
        <v>298</v>
      </c>
    </row>
    <row r="252" spans="1:8" x14ac:dyDescent="0.25">
      <c r="A252" s="3" t="str">
        <f>+Maestra[[#This Row],[SoldTO]]&amp;Maestra[[#This Row],[EAN]]&amp;Maestra[[#This Row],[Canal]]</f>
        <v>1001735107591044007191Retail</v>
      </c>
      <c r="B252" s="23" t="s">
        <v>294</v>
      </c>
      <c r="C252" s="23">
        <v>100173510</v>
      </c>
      <c r="D252" s="22" t="s">
        <v>9</v>
      </c>
      <c r="E252" s="23">
        <v>7591044007191</v>
      </c>
      <c r="F252" s="23">
        <v>120786</v>
      </c>
      <c r="G252" s="22">
        <v>100000376</v>
      </c>
      <c r="H252" s="22" t="s">
        <v>299</v>
      </c>
    </row>
    <row r="253" spans="1:8" x14ac:dyDescent="0.25">
      <c r="A253" s="3" t="str">
        <f>+Maestra[[#This Row],[SoldTO]]&amp;Maestra[[#This Row],[EAN]]&amp;Maestra[[#This Row],[Canal]]</f>
        <v>1001735107703202221237Retail</v>
      </c>
      <c r="B253" s="23" t="s">
        <v>294</v>
      </c>
      <c r="C253" s="23">
        <v>100173510</v>
      </c>
      <c r="D253" s="22" t="s">
        <v>9</v>
      </c>
      <c r="E253" s="23">
        <v>7703202221237</v>
      </c>
      <c r="F253" s="23">
        <v>782064</v>
      </c>
      <c r="G253" s="22">
        <v>100000914</v>
      </c>
      <c r="H253" s="22" t="s">
        <v>300</v>
      </c>
    </row>
    <row r="254" spans="1:8" x14ac:dyDescent="0.25">
      <c r="A254" s="3" t="str">
        <f>+Maestra[[#This Row],[SoldTO]]&amp;Maestra[[#This Row],[EAN]]&amp;Maestra[[#This Row],[Canal]]</f>
        <v>1001735107703202221220Retail</v>
      </c>
      <c r="B254" s="23" t="s">
        <v>294</v>
      </c>
      <c r="C254" s="23">
        <v>100173510</v>
      </c>
      <c r="D254" s="22" t="s">
        <v>9</v>
      </c>
      <c r="E254" s="23">
        <v>7703202221220</v>
      </c>
      <c r="F254" s="23">
        <v>781955</v>
      </c>
      <c r="G254" s="22">
        <v>100000916</v>
      </c>
      <c r="H254" s="22" t="s">
        <v>301</v>
      </c>
    </row>
    <row r="255" spans="1:8" x14ac:dyDescent="0.25">
      <c r="A255" s="3" t="str">
        <f>+Maestra[[#This Row],[SoldTO]]&amp;Maestra[[#This Row],[EAN]]&amp;Maestra[[#This Row],[Canal]]</f>
        <v>1001735107703202221091Retail</v>
      </c>
      <c r="B255" s="23" t="s">
        <v>294</v>
      </c>
      <c r="C255" s="23">
        <v>100173510</v>
      </c>
      <c r="D255" s="22" t="s">
        <v>9</v>
      </c>
      <c r="E255" s="23">
        <v>7703202221091</v>
      </c>
      <c r="F255" s="23">
        <v>797130</v>
      </c>
      <c r="G255" s="22">
        <v>100000918</v>
      </c>
      <c r="H255" s="22" t="s">
        <v>302</v>
      </c>
    </row>
    <row r="256" spans="1:8" x14ac:dyDescent="0.25">
      <c r="A256" s="3" t="str">
        <f>+Maestra[[#This Row],[SoldTO]]&amp;Maestra[[#This Row],[EAN]]&amp;Maestra[[#This Row],[Canal]]</f>
        <v>1001735107703202221305Retail</v>
      </c>
      <c r="B256" s="23" t="s">
        <v>294</v>
      </c>
      <c r="C256" s="23">
        <v>100173510</v>
      </c>
      <c r="D256" s="22" t="s">
        <v>9</v>
      </c>
      <c r="E256" s="23">
        <v>7703202221305</v>
      </c>
      <c r="F256" s="23">
        <v>782086</v>
      </c>
      <c r="G256" s="22">
        <v>100000924</v>
      </c>
      <c r="H256" s="22" t="s">
        <v>303</v>
      </c>
    </row>
    <row r="257" spans="1:8" x14ac:dyDescent="0.25">
      <c r="A257" s="3" t="str">
        <f>+Maestra[[#This Row],[SoldTO]]&amp;Maestra[[#This Row],[EAN]]&amp;Maestra[[#This Row],[Canal]]</f>
        <v>1001735107703202221244Retail</v>
      </c>
      <c r="B257" s="23" t="s">
        <v>294</v>
      </c>
      <c r="C257" s="23">
        <v>100173510</v>
      </c>
      <c r="D257" s="22" t="s">
        <v>9</v>
      </c>
      <c r="E257" s="23">
        <v>7703202221244</v>
      </c>
      <c r="F257" s="23">
        <v>782065</v>
      </c>
      <c r="G257" s="22">
        <v>100007750</v>
      </c>
      <c r="H257" s="22" t="s">
        <v>304</v>
      </c>
    </row>
    <row r="258" spans="1:8" x14ac:dyDescent="0.25">
      <c r="A258" s="3" t="str">
        <f>+Maestra[[#This Row],[SoldTO]]&amp;Maestra[[#This Row],[EAN]]&amp;Maestra[[#This Row],[Canal]]</f>
        <v>1001735107703202221169Retail</v>
      </c>
      <c r="B258" s="23" t="s">
        <v>294</v>
      </c>
      <c r="C258" s="23">
        <v>100173510</v>
      </c>
      <c r="D258" s="22" t="s">
        <v>9</v>
      </c>
      <c r="E258" s="23">
        <v>7703202221169</v>
      </c>
      <c r="F258" s="23">
        <v>715503</v>
      </c>
      <c r="G258" s="22">
        <v>100007751</v>
      </c>
      <c r="H258" s="22" t="s">
        <v>305</v>
      </c>
    </row>
    <row r="259" spans="1:8" x14ac:dyDescent="0.25">
      <c r="A259" s="3" t="str">
        <f>+Maestra[[#This Row],[SoldTO]]&amp;Maestra[[#This Row],[EAN]]&amp;Maestra[[#This Row],[Canal]]</f>
        <v>1001735103582910009900Retail</v>
      </c>
      <c r="B259" s="23" t="s">
        <v>294</v>
      </c>
      <c r="C259" s="23">
        <v>100173510</v>
      </c>
      <c r="D259" s="22" t="s">
        <v>9</v>
      </c>
      <c r="E259" s="23">
        <v>3582910009900</v>
      </c>
      <c r="F259" s="23">
        <v>873229</v>
      </c>
      <c r="G259" s="22">
        <v>100011580</v>
      </c>
      <c r="H259" s="22" t="s">
        <v>306</v>
      </c>
    </row>
    <row r="260" spans="1:8" x14ac:dyDescent="0.25">
      <c r="A260" s="3" t="str">
        <f>+Maestra[[#This Row],[SoldTO]]&amp;Maestra[[#This Row],[EAN]]&amp;Maestra[[#This Row],[Canal]]</f>
        <v>1001735107703202221275Retail</v>
      </c>
      <c r="B260" s="23" t="s">
        <v>294</v>
      </c>
      <c r="C260" s="23">
        <v>100173510</v>
      </c>
      <c r="D260" s="22" t="s">
        <v>9</v>
      </c>
      <c r="E260" s="23">
        <v>7703202221275</v>
      </c>
      <c r="F260" s="23">
        <v>939016</v>
      </c>
      <c r="G260" s="22">
        <v>100011666</v>
      </c>
      <c r="H260" s="22" t="s">
        <v>295</v>
      </c>
    </row>
    <row r="261" spans="1:8" x14ac:dyDescent="0.25">
      <c r="A261" s="3" t="str">
        <f>+Maestra[[#This Row],[SoldTO]]&amp;Maestra[[#This Row],[EAN]]&amp;Maestra[[#This Row],[Canal]]</f>
        <v>1001735107703381002146Retail</v>
      </c>
      <c r="B261" s="23" t="s">
        <v>294</v>
      </c>
      <c r="C261" s="23">
        <v>100173510</v>
      </c>
      <c r="D261" s="22" t="s">
        <v>9</v>
      </c>
      <c r="E261" s="23">
        <v>7703381002146</v>
      </c>
      <c r="F261" s="23">
        <v>715717</v>
      </c>
      <c r="G261" s="22">
        <v>100012451</v>
      </c>
      <c r="H261" s="22" t="s">
        <v>307</v>
      </c>
    </row>
    <row r="262" spans="1:8" x14ac:dyDescent="0.25">
      <c r="A262" s="3" t="str">
        <f>+Maestra[[#This Row],[SoldTO]]&amp;Maestra[[#This Row],[EAN]]&amp;Maestra[[#This Row],[Canal]]</f>
        <v>1001735107703202221282Retail</v>
      </c>
      <c r="B262" s="23" t="s">
        <v>294</v>
      </c>
      <c r="C262" s="23">
        <v>100173510</v>
      </c>
      <c r="D262" s="22" t="s">
        <v>9</v>
      </c>
      <c r="E262" s="23">
        <v>7703202221282</v>
      </c>
      <c r="F262" s="23">
        <v>782085</v>
      </c>
      <c r="G262" s="22">
        <v>100013901</v>
      </c>
      <c r="H262" s="22" t="s">
        <v>308</v>
      </c>
    </row>
    <row r="263" spans="1:8" x14ac:dyDescent="0.25">
      <c r="A263" s="3" t="str">
        <f>+Maestra[[#This Row],[SoldTO]]&amp;Maestra[[#This Row],[EAN]]&amp;Maestra[[#This Row],[Canal]]</f>
        <v>1001735107703202221152Retail</v>
      </c>
      <c r="B263" s="23" t="s">
        <v>294</v>
      </c>
      <c r="C263" s="23">
        <v>100173510</v>
      </c>
      <c r="D263" s="22" t="s">
        <v>9</v>
      </c>
      <c r="E263" s="23">
        <v>7703202221152</v>
      </c>
      <c r="F263" s="23">
        <v>715506</v>
      </c>
      <c r="G263" s="22">
        <v>100014078</v>
      </c>
      <c r="H263" s="22" t="s">
        <v>309</v>
      </c>
    </row>
    <row r="264" spans="1:8" x14ac:dyDescent="0.25">
      <c r="A264" s="3" t="str">
        <f>+Maestra[[#This Row],[SoldTO]]&amp;Maestra[[#This Row],[EAN]]&amp;Maestra[[#This Row],[Canal]]</f>
        <v>1001735107795312100090Retail</v>
      </c>
      <c r="B264" s="23" t="s">
        <v>294</v>
      </c>
      <c r="C264" s="23">
        <v>100173510</v>
      </c>
      <c r="D264" s="22" t="s">
        <v>9</v>
      </c>
      <c r="E264" s="23">
        <v>7795312100090</v>
      </c>
      <c r="F264" s="23">
        <v>785678</v>
      </c>
      <c r="G264" s="22">
        <v>100015676</v>
      </c>
      <c r="H264" s="22" t="s">
        <v>310</v>
      </c>
    </row>
    <row r="265" spans="1:8" x14ac:dyDescent="0.25">
      <c r="A265" s="3" t="str">
        <f>+Maestra[[#This Row],[SoldTO]]&amp;Maestra[[#This Row],[EAN]]&amp;Maestra[[#This Row],[Canal]]</f>
        <v>1001735107703202010329Retail</v>
      </c>
      <c r="B265" s="23" t="s">
        <v>294</v>
      </c>
      <c r="C265" s="23">
        <v>100173510</v>
      </c>
      <c r="D265" s="22" t="s">
        <v>9</v>
      </c>
      <c r="E265" s="23">
        <v>7703202010329</v>
      </c>
      <c r="F265" s="23">
        <v>341667</v>
      </c>
      <c r="G265" s="22">
        <v>100016576</v>
      </c>
      <c r="H265" s="22" t="s">
        <v>311</v>
      </c>
    </row>
    <row r="266" spans="1:8" x14ac:dyDescent="0.25">
      <c r="A266" s="3" t="str">
        <f>+Maestra[[#This Row],[SoldTO]]&amp;Maestra[[#This Row],[EAN]]&amp;Maestra[[#This Row],[Canal]]</f>
        <v>1001735107501165007956Retail</v>
      </c>
      <c r="B266" s="23" t="s">
        <v>294</v>
      </c>
      <c r="C266" s="23">
        <v>100173510</v>
      </c>
      <c r="D266" s="22" t="s">
        <v>9</v>
      </c>
      <c r="E266" s="23">
        <v>7501165007956</v>
      </c>
      <c r="F266" s="23">
        <v>655678</v>
      </c>
      <c r="G266" s="22">
        <v>100020434</v>
      </c>
      <c r="H266" s="22" t="s">
        <v>312</v>
      </c>
    </row>
    <row r="267" spans="1:8" x14ac:dyDescent="0.25">
      <c r="A267" s="3" t="str">
        <f>+Maestra[[#This Row],[SoldTO]]&amp;Maestra[[#This Row],[EAN]]&amp;Maestra[[#This Row],[Canal]]</f>
        <v>1001735107703202221428Retail</v>
      </c>
      <c r="B267" s="23" t="s">
        <v>294</v>
      </c>
      <c r="C267" s="23">
        <v>100173510</v>
      </c>
      <c r="D267" s="22" t="s">
        <v>9</v>
      </c>
      <c r="E267" s="23">
        <v>7703202221428</v>
      </c>
      <c r="F267" s="23">
        <v>782090</v>
      </c>
      <c r="G267" s="22">
        <v>100021503</v>
      </c>
      <c r="H267" s="22" t="s">
        <v>313</v>
      </c>
    </row>
    <row r="268" spans="1:8" x14ac:dyDescent="0.25">
      <c r="A268" s="3" t="str">
        <f>+Maestra[[#This Row],[SoldTO]]&amp;Maestra[[#This Row],[EAN]]&amp;Maestra[[#This Row],[Canal]]</f>
        <v>1001735107703202221381Retail</v>
      </c>
      <c r="B268" s="23" t="s">
        <v>294</v>
      </c>
      <c r="C268" s="23">
        <v>100173510</v>
      </c>
      <c r="D268" s="22" t="s">
        <v>9</v>
      </c>
      <c r="E268" s="23">
        <v>7703202221381</v>
      </c>
      <c r="F268" s="23">
        <v>782089</v>
      </c>
      <c r="G268" s="22">
        <v>100021565</v>
      </c>
      <c r="H268" s="22" t="s">
        <v>314</v>
      </c>
    </row>
    <row r="269" spans="1:8" x14ac:dyDescent="0.25">
      <c r="A269" s="3" t="str">
        <f>+Maestra[[#This Row],[SoldTO]]&amp;Maestra[[#This Row],[EAN]]&amp;Maestra[[#This Row],[Canal]]</f>
        <v>1001735107702771001561Retail</v>
      </c>
      <c r="B269" s="23" t="s">
        <v>294</v>
      </c>
      <c r="C269" s="23">
        <v>100173510</v>
      </c>
      <c r="D269" s="22" t="s">
        <v>9</v>
      </c>
      <c r="E269" s="23">
        <v>7702771001561</v>
      </c>
      <c r="F269" s="23">
        <v>873239</v>
      </c>
      <c r="G269" s="22">
        <v>100022711</v>
      </c>
      <c r="H269" s="22" t="s">
        <v>315</v>
      </c>
    </row>
    <row r="270" spans="1:8" x14ac:dyDescent="0.25">
      <c r="A270" s="3" t="str">
        <f>+Maestra[[#This Row],[SoldTO]]&amp;Maestra[[#This Row],[EAN]]&amp;Maestra[[#This Row],[Canal]]</f>
        <v>1001735107501165010444Retail</v>
      </c>
      <c r="B270" s="23" t="s">
        <v>294</v>
      </c>
      <c r="C270" s="23">
        <v>100173510</v>
      </c>
      <c r="D270" s="22" t="s">
        <v>9</v>
      </c>
      <c r="E270" s="23">
        <v>7501165010444</v>
      </c>
      <c r="F270" s="23">
        <v>600723</v>
      </c>
      <c r="G270" s="22">
        <v>100024193</v>
      </c>
      <c r="H270" s="22" t="s">
        <v>316</v>
      </c>
    </row>
    <row r="271" spans="1:8" x14ac:dyDescent="0.25">
      <c r="A271" s="3" t="str">
        <f>+Maestra[[#This Row],[SoldTO]]&amp;Maestra[[#This Row],[EAN]]&amp;Maestra[[#This Row],[Canal]]</f>
        <v>1001735107703202221312Retail</v>
      </c>
      <c r="B271" s="23" t="s">
        <v>294</v>
      </c>
      <c r="C271" s="23">
        <v>100173510</v>
      </c>
      <c r="D271" s="22" t="s">
        <v>9</v>
      </c>
      <c r="E271" s="23">
        <v>7703202221312</v>
      </c>
      <c r="F271" s="23">
        <v>782091</v>
      </c>
      <c r="G271" s="22">
        <v>100024939</v>
      </c>
      <c r="H271" s="22" t="s">
        <v>317</v>
      </c>
    </row>
    <row r="272" spans="1:8" x14ac:dyDescent="0.25">
      <c r="A272" s="3" t="str">
        <f>+Maestra[[#This Row],[SoldTO]]&amp;Maestra[[#This Row],[EAN]]&amp;Maestra[[#This Row],[Canal]]</f>
        <v>1001735107703202221329Retail</v>
      </c>
      <c r="B272" s="23" t="s">
        <v>294</v>
      </c>
      <c r="C272" s="23">
        <v>100173510</v>
      </c>
      <c r="D272" s="22" t="s">
        <v>9</v>
      </c>
      <c r="E272" s="23">
        <v>7703202221329</v>
      </c>
      <c r="F272" s="23">
        <v>782092</v>
      </c>
      <c r="G272" s="22">
        <v>100024940</v>
      </c>
      <c r="H272" s="22" t="s">
        <v>318</v>
      </c>
    </row>
    <row r="273" spans="1:8" x14ac:dyDescent="0.25">
      <c r="A273" s="3" t="str">
        <f>+Maestra[[#This Row],[SoldTO]]&amp;Maestra[[#This Row],[EAN]]&amp;Maestra[[#This Row],[Canal]]</f>
        <v>1001735107703202221336Retail</v>
      </c>
      <c r="B273" s="23" t="s">
        <v>294</v>
      </c>
      <c r="C273" s="23">
        <v>100173510</v>
      </c>
      <c r="D273" s="22" t="s">
        <v>9</v>
      </c>
      <c r="E273" s="23">
        <v>7703202221336</v>
      </c>
      <c r="F273" s="23">
        <v>782093</v>
      </c>
      <c r="G273" s="22">
        <v>100024941</v>
      </c>
      <c r="H273" s="22" t="s">
        <v>319</v>
      </c>
    </row>
    <row r="274" spans="1:8" x14ac:dyDescent="0.25">
      <c r="A274" s="3" t="str">
        <f>+Maestra[[#This Row],[SoldTO]]&amp;Maestra[[#This Row],[EAN]]&amp;Maestra[[#This Row],[Canal]]</f>
        <v>1001735107703202003475Retail</v>
      </c>
      <c r="B274" s="23" t="s">
        <v>294</v>
      </c>
      <c r="C274" s="23">
        <v>100173510</v>
      </c>
      <c r="D274" s="22" t="s">
        <v>9</v>
      </c>
      <c r="E274" s="23">
        <v>7703202003475</v>
      </c>
      <c r="F274" s="23">
        <v>650554</v>
      </c>
      <c r="G274" s="22">
        <v>100024967</v>
      </c>
      <c r="H274" s="22" t="s">
        <v>320</v>
      </c>
    </row>
    <row r="275" spans="1:8" x14ac:dyDescent="0.25">
      <c r="A275" s="3" t="str">
        <f>+Maestra[[#This Row],[SoldTO]]&amp;Maestra[[#This Row],[EAN]]&amp;Maestra[[#This Row],[Canal]]</f>
        <v>1001735103664798067910Retail</v>
      </c>
      <c r="B275" s="23" t="s">
        <v>294</v>
      </c>
      <c r="C275" s="23">
        <v>100173510</v>
      </c>
      <c r="D275" s="22" t="s">
        <v>9</v>
      </c>
      <c r="E275" s="23">
        <v>3664798067910</v>
      </c>
      <c r="F275" s="23">
        <v>892229</v>
      </c>
      <c r="G275" s="22">
        <v>100028083</v>
      </c>
      <c r="H275" s="22" t="s">
        <v>321</v>
      </c>
    </row>
    <row r="276" spans="1:8" x14ac:dyDescent="0.25">
      <c r="A276" s="3" t="str">
        <f>+Maestra[[#This Row],[SoldTO]]&amp;Maestra[[#This Row],[EAN]]&amp;Maestra[[#This Row],[Canal]]</f>
        <v>1001735103664798064728Retail</v>
      </c>
      <c r="B276" s="23" t="s">
        <v>294</v>
      </c>
      <c r="C276" s="23">
        <v>100173510</v>
      </c>
      <c r="D276" s="22" t="s">
        <v>9</v>
      </c>
      <c r="E276" s="23">
        <v>3664798064728</v>
      </c>
      <c r="F276" s="23">
        <v>846778</v>
      </c>
      <c r="G276" s="22">
        <v>100028123</v>
      </c>
      <c r="H276" s="22" t="s">
        <v>322</v>
      </c>
    </row>
    <row r="277" spans="1:8" x14ac:dyDescent="0.25">
      <c r="A277" s="3" t="str">
        <f>+Maestra[[#This Row],[SoldTO]]&amp;Maestra[[#This Row],[EAN]]&amp;Maestra[[#This Row],[Canal]]</f>
        <v>1001735107591044009447Retail</v>
      </c>
      <c r="B277" s="23" t="s">
        <v>294</v>
      </c>
      <c r="C277" s="23">
        <v>100173510</v>
      </c>
      <c r="D277" s="22" t="s">
        <v>9</v>
      </c>
      <c r="E277" s="23">
        <v>7591044009447</v>
      </c>
      <c r="F277" s="23">
        <v>120777</v>
      </c>
      <c r="G277" s="22">
        <v>100000375</v>
      </c>
      <c r="H277" s="22" t="s">
        <v>323</v>
      </c>
    </row>
    <row r="278" spans="1:8" x14ac:dyDescent="0.25">
      <c r="A278" s="3" t="str">
        <f>+Maestra[[#This Row],[SoldTO]]&amp;Maestra[[#This Row],[EAN]]&amp;Maestra[[#This Row],[Canal]]</f>
        <v>1001735277703202221220Retail</v>
      </c>
      <c r="B278" s="23" t="s">
        <v>324</v>
      </c>
      <c r="C278" s="23">
        <v>100173527</v>
      </c>
      <c r="D278" s="22" t="s">
        <v>9</v>
      </c>
      <c r="E278" s="23">
        <v>7703202221220</v>
      </c>
      <c r="F278" s="23">
        <v>781955</v>
      </c>
      <c r="G278" s="22" t="s">
        <v>325</v>
      </c>
      <c r="H278" s="22" t="s">
        <v>301</v>
      </c>
    </row>
    <row r="279" spans="1:8" x14ac:dyDescent="0.25">
      <c r="A279" s="3" t="str">
        <f>+Maestra[[#This Row],[SoldTO]]&amp;Maestra[[#This Row],[EAN]]&amp;Maestra[[#This Row],[Canal]]</f>
        <v>1001735277703202221428Retail</v>
      </c>
      <c r="B279" s="23" t="s">
        <v>324</v>
      </c>
      <c r="C279" s="23">
        <v>100173527</v>
      </c>
      <c r="D279" s="22" t="s">
        <v>9</v>
      </c>
      <c r="E279" s="23">
        <v>7703202221428</v>
      </c>
      <c r="F279" s="23">
        <v>782090</v>
      </c>
      <c r="G279" s="22" t="s">
        <v>326</v>
      </c>
      <c r="H279" s="22" t="s">
        <v>313</v>
      </c>
    </row>
    <row r="280" spans="1:8" x14ac:dyDescent="0.25">
      <c r="A280" s="3" t="str">
        <f>+Maestra[[#This Row],[SoldTO]]&amp;Maestra[[#This Row],[EAN]]&amp;Maestra[[#This Row],[Canal]]</f>
        <v>1001735277703202221381Retail</v>
      </c>
      <c r="B280" s="23" t="s">
        <v>324</v>
      </c>
      <c r="C280" s="23">
        <v>100173527</v>
      </c>
      <c r="D280" s="22" t="s">
        <v>9</v>
      </c>
      <c r="E280" s="23">
        <v>7703202221381</v>
      </c>
      <c r="F280" s="23">
        <v>782089</v>
      </c>
      <c r="G280" s="22" t="s">
        <v>327</v>
      </c>
      <c r="H280" s="22" t="s">
        <v>314</v>
      </c>
    </row>
    <row r="281" spans="1:8" x14ac:dyDescent="0.25">
      <c r="A281" s="3" t="str">
        <f>+Maestra[[#This Row],[SoldTO]]&amp;Maestra[[#This Row],[EAN]]&amp;Maestra[[#This Row],[Canal]]</f>
        <v>1001735277703202221305Retail</v>
      </c>
      <c r="B281" s="23" t="s">
        <v>324</v>
      </c>
      <c r="C281" s="23">
        <v>100173527</v>
      </c>
      <c r="D281" s="22" t="s">
        <v>9</v>
      </c>
      <c r="E281" s="23">
        <v>7703202221305</v>
      </c>
      <c r="F281" s="23">
        <v>782086</v>
      </c>
      <c r="G281" s="22" t="s">
        <v>328</v>
      </c>
      <c r="H281" s="22" t="s">
        <v>303</v>
      </c>
    </row>
    <row r="282" spans="1:8" x14ac:dyDescent="0.25">
      <c r="A282" s="3" t="str">
        <f>+Maestra[[#This Row],[SoldTO]]&amp;Maestra[[#This Row],[EAN]]&amp;Maestra[[#This Row],[Canal]]</f>
        <v>1001735277703202221336Retail</v>
      </c>
      <c r="B282" s="23" t="s">
        <v>324</v>
      </c>
      <c r="C282" s="23">
        <v>100173527</v>
      </c>
      <c r="D282" s="22" t="s">
        <v>9</v>
      </c>
      <c r="E282" s="23">
        <v>7703202221336</v>
      </c>
      <c r="F282" s="23">
        <v>782093</v>
      </c>
      <c r="G282" s="22" t="s">
        <v>329</v>
      </c>
      <c r="H282" s="22" t="s">
        <v>319</v>
      </c>
    </row>
    <row r="283" spans="1:8" x14ac:dyDescent="0.25">
      <c r="A283" s="3" t="str">
        <f>+Maestra[[#This Row],[SoldTO]]&amp;Maestra[[#This Row],[EAN]]&amp;Maestra[[#This Row],[Canal]]</f>
        <v>1001735277703202221329Retail</v>
      </c>
      <c r="B283" s="23" t="s">
        <v>324</v>
      </c>
      <c r="C283" s="23">
        <v>100173527</v>
      </c>
      <c r="D283" s="22" t="s">
        <v>9</v>
      </c>
      <c r="E283" s="23">
        <v>7703202221329</v>
      </c>
      <c r="F283" s="23">
        <v>782092</v>
      </c>
      <c r="G283" s="22" t="s">
        <v>330</v>
      </c>
      <c r="H283" s="22" t="s">
        <v>318</v>
      </c>
    </row>
    <row r="284" spans="1:8" x14ac:dyDescent="0.25">
      <c r="A284" s="3" t="str">
        <f>+Maestra[[#This Row],[SoldTO]]&amp;Maestra[[#This Row],[EAN]]&amp;Maestra[[#This Row],[Canal]]</f>
        <v>1001735277703202221312Retail</v>
      </c>
      <c r="B284" s="23" t="s">
        <v>324</v>
      </c>
      <c r="C284" s="23">
        <v>100173527</v>
      </c>
      <c r="D284" s="22" t="s">
        <v>9</v>
      </c>
      <c r="E284" s="23">
        <v>7703202221312</v>
      </c>
      <c r="F284" s="23">
        <v>782091</v>
      </c>
      <c r="G284" s="22" t="s">
        <v>331</v>
      </c>
      <c r="H284" s="22" t="s">
        <v>317</v>
      </c>
    </row>
    <row r="285" spans="1:8" x14ac:dyDescent="0.25">
      <c r="A285" s="3" t="str">
        <f>+Maestra[[#This Row],[SoldTO]]&amp;Maestra[[#This Row],[EAN]]&amp;Maestra[[#This Row],[Canal]]</f>
        <v>1001734997703202221275Retail</v>
      </c>
      <c r="B285" s="23" t="s">
        <v>35</v>
      </c>
      <c r="C285" s="23">
        <v>100173499</v>
      </c>
      <c r="D285" s="22" t="s">
        <v>9</v>
      </c>
      <c r="E285" s="23">
        <v>7703202221275</v>
      </c>
      <c r="F285" s="23">
        <v>782074</v>
      </c>
      <c r="G285" s="22">
        <v>47598</v>
      </c>
      <c r="H285" s="22" t="s">
        <v>50</v>
      </c>
    </row>
    <row r="286" spans="1:8" x14ac:dyDescent="0.25">
      <c r="A286" s="3" t="str">
        <f>+Maestra[[#This Row],[SoldTO]]&amp;Maestra[[#This Row],[EAN]]&amp;Maestra[[#This Row],[Canal]]</f>
        <v>1001735277703202221282Retail</v>
      </c>
      <c r="B286" s="23" t="s">
        <v>324</v>
      </c>
      <c r="C286" s="23">
        <v>100173527</v>
      </c>
      <c r="D286" s="22" t="s">
        <v>9</v>
      </c>
      <c r="E286" s="23">
        <v>7703202221282</v>
      </c>
      <c r="F286" s="23">
        <v>782085</v>
      </c>
      <c r="G286" s="22" t="s">
        <v>332</v>
      </c>
      <c r="H286" s="22" t="s">
        <v>308</v>
      </c>
    </row>
    <row r="287" spans="1:8" x14ac:dyDescent="0.25">
      <c r="A287" s="3" t="str">
        <f>+Maestra[[#This Row],[SoldTO]]&amp;Maestra[[#This Row],[EAN]]&amp;Maestra[[#This Row],[Canal]]</f>
        <v>1001735277703202221244Retail</v>
      </c>
      <c r="B287" s="23" t="s">
        <v>324</v>
      </c>
      <c r="C287" s="23">
        <v>100173527</v>
      </c>
      <c r="D287" s="22" t="s">
        <v>9</v>
      </c>
      <c r="E287" s="23">
        <v>7703202221244</v>
      </c>
      <c r="F287" s="23">
        <v>782065</v>
      </c>
      <c r="G287" s="22" t="s">
        <v>333</v>
      </c>
      <c r="H287" s="22" t="s">
        <v>304</v>
      </c>
    </row>
    <row r="288" spans="1:8" x14ac:dyDescent="0.25">
      <c r="A288" s="3" t="str">
        <f>+Maestra[[#This Row],[SoldTO]]&amp;Maestra[[#This Row],[EAN]]&amp;Maestra[[#This Row],[Canal]]</f>
        <v>1001735277703202221169Retail</v>
      </c>
      <c r="B288" s="23" t="s">
        <v>324</v>
      </c>
      <c r="C288" s="23">
        <v>100173527</v>
      </c>
      <c r="D288" s="22" t="s">
        <v>9</v>
      </c>
      <c r="E288" s="23">
        <v>7703202221169</v>
      </c>
      <c r="F288" s="23">
        <v>715503</v>
      </c>
      <c r="G288" s="22" t="s">
        <v>334</v>
      </c>
      <c r="H288" s="22" t="s">
        <v>305</v>
      </c>
    </row>
    <row r="289" spans="1:8" x14ac:dyDescent="0.25">
      <c r="A289" s="3" t="str">
        <f>+Maestra[[#This Row],[SoldTO]]&amp;Maestra[[#This Row],[EAN]]&amp;Maestra[[#This Row],[Canal]]</f>
        <v>1001735277703202221152Retail</v>
      </c>
      <c r="B289" s="23" t="s">
        <v>324</v>
      </c>
      <c r="C289" s="23">
        <v>100173527</v>
      </c>
      <c r="D289" s="22" t="s">
        <v>9</v>
      </c>
      <c r="E289" s="23">
        <v>7703202221152</v>
      </c>
      <c r="F289" s="23">
        <v>715506</v>
      </c>
      <c r="G289" s="22" t="s">
        <v>335</v>
      </c>
      <c r="H289" s="22" t="s">
        <v>309</v>
      </c>
    </row>
    <row r="290" spans="1:8" x14ac:dyDescent="0.25">
      <c r="A290" s="3" t="str">
        <f>+Maestra[[#This Row],[SoldTO]]&amp;Maestra[[#This Row],[EAN]]&amp;Maestra[[#This Row],[Canal]]</f>
        <v>1001735273664798069211Retail</v>
      </c>
      <c r="B290" s="23" t="s">
        <v>324</v>
      </c>
      <c r="C290" s="23">
        <v>100173527</v>
      </c>
      <c r="D290" s="22" t="s">
        <v>9</v>
      </c>
      <c r="E290" s="23">
        <v>3664798069211</v>
      </c>
      <c r="F290" s="23">
        <v>715717</v>
      </c>
      <c r="G290" s="22" t="s">
        <v>336</v>
      </c>
      <c r="H290" s="22" t="s">
        <v>307</v>
      </c>
    </row>
    <row r="291" spans="1:8" x14ac:dyDescent="0.25">
      <c r="A291" s="3" t="str">
        <f>+Maestra[[#This Row],[SoldTO]]&amp;Maestra[[#This Row],[EAN]]&amp;Maestra[[#This Row],[Canal]]</f>
        <v>1001735273664798064728Retail</v>
      </c>
      <c r="B291" s="23" t="s">
        <v>324</v>
      </c>
      <c r="C291" s="23">
        <v>100173527</v>
      </c>
      <c r="D291" s="22" t="s">
        <v>9</v>
      </c>
      <c r="E291" s="23">
        <v>3664798064728</v>
      </c>
      <c r="F291" s="23">
        <v>846778</v>
      </c>
      <c r="G291" s="22" t="s">
        <v>337</v>
      </c>
      <c r="H291" s="22" t="s">
        <v>322</v>
      </c>
    </row>
    <row r="292" spans="1:8" x14ac:dyDescent="0.25">
      <c r="A292" s="3" t="str">
        <f>+Maestra[[#This Row],[SoldTO]]&amp;Maestra[[#This Row],[EAN]]&amp;Maestra[[#This Row],[Canal]]</f>
        <v>1001735273664798066531Retail</v>
      </c>
      <c r="B292" s="23" t="s">
        <v>324</v>
      </c>
      <c r="C292" s="23">
        <v>100173527</v>
      </c>
      <c r="D292" s="22" t="s">
        <v>9</v>
      </c>
      <c r="E292" s="23">
        <v>3664798066531</v>
      </c>
      <c r="F292" s="23">
        <v>882451</v>
      </c>
      <c r="G292" s="22" t="s">
        <v>338</v>
      </c>
      <c r="H292" s="22" t="s">
        <v>339</v>
      </c>
    </row>
    <row r="293" spans="1:8" x14ac:dyDescent="0.25">
      <c r="A293" s="3" t="str">
        <f>+Maestra[[#This Row],[SoldTO]]&amp;Maestra[[#This Row],[EAN]]&amp;Maestra[[#This Row],[Canal]]</f>
        <v>1001735277703202010329Retail</v>
      </c>
      <c r="B293" s="23" t="s">
        <v>324</v>
      </c>
      <c r="C293" s="23">
        <v>100173527</v>
      </c>
      <c r="D293" s="22" t="s">
        <v>9</v>
      </c>
      <c r="E293" s="23">
        <v>7703202010329</v>
      </c>
      <c r="F293" s="23">
        <v>341667</v>
      </c>
      <c r="G293" s="22" t="s">
        <v>340</v>
      </c>
      <c r="H293" s="22" t="s">
        <v>311</v>
      </c>
    </row>
    <row r="294" spans="1:8" x14ac:dyDescent="0.25">
      <c r="A294" s="3" t="str">
        <f>+Maestra[[#This Row],[SoldTO]]&amp;Maestra[[#This Row],[EAN]]&amp;Maestra[[#This Row],[Canal]]</f>
        <v>1001735277591044009010Retail</v>
      </c>
      <c r="B294" s="23" t="s">
        <v>324</v>
      </c>
      <c r="C294" s="23">
        <v>100173527</v>
      </c>
      <c r="D294" s="22" t="s">
        <v>9</v>
      </c>
      <c r="E294" s="23">
        <v>7591044009010</v>
      </c>
      <c r="F294" s="23">
        <v>732308</v>
      </c>
      <c r="G294" s="22" t="s">
        <v>341</v>
      </c>
      <c r="H294" s="22" t="s">
        <v>297</v>
      </c>
    </row>
    <row r="295" spans="1:8" x14ac:dyDescent="0.25">
      <c r="A295" s="3" t="str">
        <f>+Maestra[[#This Row],[SoldTO]]&amp;Maestra[[#This Row],[EAN]]&amp;Maestra[[#This Row],[Canal]]</f>
        <v>1001735277591044008952Retail</v>
      </c>
      <c r="B295" s="23" t="s">
        <v>324</v>
      </c>
      <c r="C295" s="23">
        <v>100173527</v>
      </c>
      <c r="D295" s="22" t="s">
        <v>9</v>
      </c>
      <c r="E295" s="23">
        <v>7591044008952</v>
      </c>
      <c r="F295" s="23">
        <v>666269</v>
      </c>
      <c r="G295" s="22" t="s">
        <v>342</v>
      </c>
      <c r="H295" s="22" t="s">
        <v>296</v>
      </c>
    </row>
    <row r="296" spans="1:8" x14ac:dyDescent="0.25">
      <c r="A296" s="3" t="str">
        <f>+Maestra[[#This Row],[SoldTO]]&amp;Maestra[[#This Row],[EAN]]&amp;Maestra[[#This Row],[Canal]]</f>
        <v>1001735277795312100090Retail</v>
      </c>
      <c r="B296" s="23" t="s">
        <v>324</v>
      </c>
      <c r="C296" s="23">
        <v>100173527</v>
      </c>
      <c r="D296" s="22" t="s">
        <v>9</v>
      </c>
      <c r="E296" s="23">
        <v>7795312100090</v>
      </c>
      <c r="F296" s="23">
        <v>785678</v>
      </c>
      <c r="G296" s="22" t="s">
        <v>343</v>
      </c>
      <c r="H296" s="22" t="s">
        <v>310</v>
      </c>
    </row>
    <row r="297" spans="1:8" x14ac:dyDescent="0.25">
      <c r="A297" s="3" t="str">
        <f>+Maestra[[#This Row],[SoldTO]]&amp;Maestra[[#This Row],[EAN]]&amp;Maestra[[#This Row],[Canal]]</f>
        <v>1001735277591044009447Retail</v>
      </c>
      <c r="B297" s="23" t="s">
        <v>324</v>
      </c>
      <c r="C297" s="23">
        <v>100173527</v>
      </c>
      <c r="D297" s="22" t="s">
        <v>9</v>
      </c>
      <c r="E297" s="23">
        <v>7591044009447</v>
      </c>
      <c r="F297" s="23">
        <v>120777</v>
      </c>
      <c r="G297" s="22" t="s">
        <v>344</v>
      </c>
      <c r="H297" s="22" t="s">
        <v>323</v>
      </c>
    </row>
    <row r="298" spans="1:8" x14ac:dyDescent="0.25">
      <c r="A298" s="3" t="str">
        <f>+Maestra[[#This Row],[SoldTO]]&amp;Maestra[[#This Row],[EAN]]&amp;Maestra[[#This Row],[Canal]]</f>
        <v>1001735277591044007191Retail</v>
      </c>
      <c r="B298" s="23" t="s">
        <v>324</v>
      </c>
      <c r="C298" s="23">
        <v>100173527</v>
      </c>
      <c r="D298" s="22" t="s">
        <v>9</v>
      </c>
      <c r="E298" s="23">
        <v>7591044007191</v>
      </c>
      <c r="F298" s="23">
        <v>120786</v>
      </c>
      <c r="G298" s="22" t="s">
        <v>345</v>
      </c>
      <c r="H298" s="22" t="s">
        <v>299</v>
      </c>
    </row>
    <row r="299" spans="1:8" x14ac:dyDescent="0.25">
      <c r="A299" s="3" t="str">
        <f>+Maestra[[#This Row],[SoldTO]]&amp;Maestra[[#This Row],[EAN]]&amp;Maestra[[#This Row],[Canal]]</f>
        <v>1001735273582910009900Retail</v>
      </c>
      <c r="B299" s="23" t="s">
        <v>324</v>
      </c>
      <c r="C299" s="23">
        <v>100173527</v>
      </c>
      <c r="D299" s="22" t="s">
        <v>9</v>
      </c>
      <c r="E299" s="23">
        <v>3582910009900</v>
      </c>
      <c r="F299" s="23">
        <v>873229</v>
      </c>
      <c r="G299" s="22" t="s">
        <v>346</v>
      </c>
      <c r="H299" s="22" t="s">
        <v>306</v>
      </c>
    </row>
    <row r="300" spans="1:8" x14ac:dyDescent="0.25">
      <c r="A300" s="3" t="str">
        <f>+Maestra[[#This Row],[SoldTO]]&amp;Maestra[[#This Row],[EAN]]&amp;Maestra[[#This Row],[Canal]]</f>
        <v>1001735277501165007956Retail</v>
      </c>
      <c r="B300" s="23" t="s">
        <v>324</v>
      </c>
      <c r="C300" s="23">
        <v>100173527</v>
      </c>
      <c r="D300" s="22" t="s">
        <v>9</v>
      </c>
      <c r="E300" s="23">
        <v>7501165007956</v>
      </c>
      <c r="F300" s="23">
        <v>655678</v>
      </c>
      <c r="G300" s="22" t="s">
        <v>347</v>
      </c>
      <c r="H300" s="22" t="s">
        <v>312</v>
      </c>
    </row>
    <row r="301" spans="1:8" x14ac:dyDescent="0.25">
      <c r="A301" s="3" t="str">
        <f>+Maestra[[#This Row],[SoldTO]]&amp;Maestra[[#This Row],[EAN]]&amp;Maestra[[#This Row],[Canal]]</f>
        <v>1001735277591044401036Retail</v>
      </c>
      <c r="B301" s="23" t="s">
        <v>324</v>
      </c>
      <c r="C301" s="23">
        <v>100173527</v>
      </c>
      <c r="D301" s="22" t="s">
        <v>9</v>
      </c>
      <c r="E301" s="23">
        <v>7591044401036</v>
      </c>
      <c r="F301" s="23">
        <v>723871</v>
      </c>
      <c r="G301" s="22" t="s">
        <v>348</v>
      </c>
      <c r="H301" s="22" t="s">
        <v>298</v>
      </c>
    </row>
    <row r="302" spans="1:8" x14ac:dyDescent="0.25">
      <c r="A302" s="3" t="str">
        <f>+Maestra[[#This Row],[SoldTO]]&amp;Maestra[[#This Row],[EAN]]&amp;Maestra[[#This Row],[Canal]]</f>
        <v>1001735277501165010444Retail</v>
      </c>
      <c r="B302" s="23" t="s">
        <v>324</v>
      </c>
      <c r="C302" s="23">
        <v>100173527</v>
      </c>
      <c r="D302" s="22" t="s">
        <v>9</v>
      </c>
      <c r="E302" s="23">
        <v>7501165010444</v>
      </c>
      <c r="F302" s="23">
        <v>600723</v>
      </c>
      <c r="G302" s="22" t="s">
        <v>349</v>
      </c>
      <c r="H302" s="22" t="s">
        <v>316</v>
      </c>
    </row>
    <row r="303" spans="1:8" x14ac:dyDescent="0.25">
      <c r="A303" s="3" t="str">
        <f>+Maestra[[#This Row],[SoldTO]]&amp;Maestra[[#This Row],[EAN]]&amp;Maestra[[#This Row],[Canal]]</f>
        <v>1001735277703202221091Retail</v>
      </c>
      <c r="B303" s="23" t="s">
        <v>324</v>
      </c>
      <c r="C303" s="23">
        <v>100173527</v>
      </c>
      <c r="D303" s="22" t="s">
        <v>9</v>
      </c>
      <c r="E303" s="23">
        <v>7703202221091</v>
      </c>
      <c r="F303" s="23">
        <v>797130</v>
      </c>
      <c r="G303" s="22" t="s">
        <v>350</v>
      </c>
      <c r="H303" s="22" t="s">
        <v>302</v>
      </c>
    </row>
    <row r="304" spans="1:8" x14ac:dyDescent="0.25">
      <c r="A304" s="3" t="str">
        <f>+Maestra[[#This Row],[SoldTO]]&amp;Maestra[[#This Row],[EAN]]&amp;Maestra[[#This Row],[Canal]]</f>
        <v>1001735277702771001561Retail</v>
      </c>
      <c r="B304" s="23" t="s">
        <v>324</v>
      </c>
      <c r="C304" s="23">
        <v>100173527</v>
      </c>
      <c r="D304" s="22" t="s">
        <v>9</v>
      </c>
      <c r="E304" s="23">
        <v>7702771001561</v>
      </c>
      <c r="F304" s="23">
        <v>873239</v>
      </c>
      <c r="G304" s="22" t="s">
        <v>351</v>
      </c>
      <c r="H304" s="22" t="s">
        <v>315</v>
      </c>
    </row>
    <row r="305" spans="1:8" x14ac:dyDescent="0.25">
      <c r="A305" s="3" t="str">
        <f>+Maestra[[#This Row],[SoldTO]]&amp;Maestra[[#This Row],[EAN]]&amp;Maestra[[#This Row],[Canal]]</f>
        <v>1001735277703202003475Retail</v>
      </c>
      <c r="B305" s="23" t="s">
        <v>324</v>
      </c>
      <c r="C305" s="23">
        <v>100173527</v>
      </c>
      <c r="D305" s="22" t="s">
        <v>9</v>
      </c>
      <c r="E305" s="23">
        <v>7703202003475</v>
      </c>
      <c r="F305" s="23">
        <v>650554</v>
      </c>
      <c r="G305" s="22" t="s">
        <v>352</v>
      </c>
      <c r="H305" s="22" t="s">
        <v>320</v>
      </c>
    </row>
    <row r="306" spans="1:8" x14ac:dyDescent="0.25">
      <c r="A306" s="3" t="str">
        <f>+Maestra[[#This Row],[SoldTO]]&amp;Maestra[[#This Row],[EAN]]&amp;Maestra[[#This Row],[Canal]]</f>
        <v>1001735277703202221107Retail</v>
      </c>
      <c r="B306" s="23" t="s">
        <v>324</v>
      </c>
      <c r="C306" s="23">
        <v>100173527</v>
      </c>
      <c r="D306" s="22" t="s">
        <v>9</v>
      </c>
      <c r="E306" s="23">
        <v>7703202221107</v>
      </c>
      <c r="F306" s="23">
        <v>797125</v>
      </c>
      <c r="G306" s="22">
        <v>253026</v>
      </c>
      <c r="H306" s="22" t="s">
        <v>353</v>
      </c>
    </row>
    <row r="307" spans="1:8" x14ac:dyDescent="0.25">
      <c r="A307" s="3" t="str">
        <f>+Maestra[[#This Row],[SoldTO]]&amp;Maestra[[#This Row],[EAN]]&amp;Maestra[[#This Row],[Canal]]</f>
        <v>1001734677591044008952Retail</v>
      </c>
      <c r="B307" s="23" t="s">
        <v>292</v>
      </c>
      <c r="C307" s="23">
        <v>100173467</v>
      </c>
      <c r="D307" s="22" t="s">
        <v>9</v>
      </c>
      <c r="E307" s="23">
        <v>7591044008952</v>
      </c>
      <c r="F307" s="23">
        <v>666269</v>
      </c>
      <c r="G307" s="22">
        <v>7608</v>
      </c>
      <c r="H307" s="22" t="s">
        <v>354</v>
      </c>
    </row>
    <row r="308" spans="1:8" x14ac:dyDescent="0.25">
      <c r="A308" s="3" t="str">
        <f>+Maestra[[#This Row],[SoldTO]]&amp;Maestra[[#This Row],[EAN]]&amp;Maestra[[#This Row],[Canal]]</f>
        <v>1001734673664798066531Retail</v>
      </c>
      <c r="B308" s="23" t="s">
        <v>292</v>
      </c>
      <c r="C308" s="23">
        <v>100173467</v>
      </c>
      <c r="D308" s="22" t="s">
        <v>9</v>
      </c>
      <c r="E308" s="23">
        <v>3664798066531</v>
      </c>
      <c r="F308" s="23">
        <v>882451</v>
      </c>
      <c r="G308" s="22">
        <v>0</v>
      </c>
      <c r="H308" s="22" t="s">
        <v>355</v>
      </c>
    </row>
    <row r="309" spans="1:8" x14ac:dyDescent="0.25">
      <c r="A309" s="3" t="str">
        <f>+Maestra[[#This Row],[SoldTO]]&amp;Maestra[[#This Row],[EAN]]&amp;Maestra[[#This Row],[Canal]]</f>
        <v>1001734677591044009010Retail</v>
      </c>
      <c r="B309" s="23" t="s">
        <v>292</v>
      </c>
      <c r="C309" s="23">
        <v>100173467</v>
      </c>
      <c r="D309" s="22" t="s">
        <v>9</v>
      </c>
      <c r="E309" s="23">
        <v>7591044009010</v>
      </c>
      <c r="F309" s="23">
        <v>732308</v>
      </c>
      <c r="G309" s="22">
        <v>7606</v>
      </c>
      <c r="H309" s="22" t="s">
        <v>356</v>
      </c>
    </row>
    <row r="310" spans="1:8" x14ac:dyDescent="0.25">
      <c r="A310" s="3" t="str">
        <f>+Maestra[[#This Row],[SoldTO]]&amp;Maestra[[#This Row],[EAN]]&amp;Maestra[[#This Row],[Canal]]</f>
        <v>1001734677703202010329Retail</v>
      </c>
      <c r="B310" s="23" t="s">
        <v>292</v>
      </c>
      <c r="C310" s="23">
        <v>100173467</v>
      </c>
      <c r="D310" s="22" t="s">
        <v>9</v>
      </c>
      <c r="E310" s="23">
        <v>7703202010329</v>
      </c>
      <c r="F310" s="23">
        <v>341667</v>
      </c>
      <c r="G310" s="22">
        <v>7598</v>
      </c>
      <c r="H310" s="22" t="s">
        <v>357</v>
      </c>
    </row>
    <row r="311" spans="1:8" x14ac:dyDescent="0.25">
      <c r="A311" s="3" t="str">
        <f>+Maestra[[#This Row],[SoldTO]]&amp;Maestra[[#This Row],[EAN]]&amp;Maestra[[#This Row],[Canal]]</f>
        <v>1001734677795312100090Retail</v>
      </c>
      <c r="B311" s="23" t="s">
        <v>292</v>
      </c>
      <c r="C311" s="23">
        <v>100173467</v>
      </c>
      <c r="D311" s="22" t="s">
        <v>9</v>
      </c>
      <c r="E311" s="23">
        <v>7795312100090</v>
      </c>
      <c r="F311" s="23">
        <v>785678</v>
      </c>
      <c r="G311" s="22">
        <v>7607</v>
      </c>
      <c r="H311" s="22" t="s">
        <v>358</v>
      </c>
    </row>
    <row r="312" spans="1:8" x14ac:dyDescent="0.25">
      <c r="A312" s="3" t="str">
        <f>+Maestra[[#This Row],[SoldTO]]&amp;Maestra[[#This Row],[EAN]]&amp;Maestra[[#This Row],[Canal]]</f>
        <v>1001734677703202221428Retail</v>
      </c>
      <c r="B312" s="23" t="s">
        <v>292</v>
      </c>
      <c r="C312" s="23">
        <v>100173467</v>
      </c>
      <c r="D312" s="22" t="s">
        <v>9</v>
      </c>
      <c r="E312" s="23">
        <v>7703202221428</v>
      </c>
      <c r="F312" s="23">
        <v>782090</v>
      </c>
      <c r="G312" s="22">
        <v>7609</v>
      </c>
      <c r="H312" s="22" t="s">
        <v>359</v>
      </c>
    </row>
    <row r="313" spans="1:8" x14ac:dyDescent="0.25">
      <c r="A313" s="3" t="str">
        <f>+Maestra[[#This Row],[SoldTO]]&amp;Maestra[[#This Row],[EAN]]&amp;Maestra[[#This Row],[Canal]]</f>
        <v>1001734677703202221220Retail</v>
      </c>
      <c r="B313" s="23" t="s">
        <v>292</v>
      </c>
      <c r="C313" s="23">
        <v>100173467</v>
      </c>
      <c r="D313" s="22" t="s">
        <v>9</v>
      </c>
      <c r="E313" s="23">
        <v>7703202221220</v>
      </c>
      <c r="F313" s="23">
        <v>781955</v>
      </c>
      <c r="G313" s="22">
        <v>7600</v>
      </c>
      <c r="H313" s="22" t="s">
        <v>360</v>
      </c>
    </row>
    <row r="314" spans="1:8" x14ac:dyDescent="0.25">
      <c r="A314" s="3" t="str">
        <f>+Maestra[[#This Row],[SoldTO]]&amp;Maestra[[#This Row],[EAN]]&amp;Maestra[[#This Row],[Canal]]</f>
        <v>1001734677703202221381Retail</v>
      </c>
      <c r="B314" s="23" t="s">
        <v>292</v>
      </c>
      <c r="C314" s="23">
        <v>100173467</v>
      </c>
      <c r="D314" s="22" t="s">
        <v>9</v>
      </c>
      <c r="E314" s="23">
        <v>7703202221381</v>
      </c>
      <c r="F314" s="23">
        <v>782089</v>
      </c>
      <c r="G314" s="22">
        <v>7599</v>
      </c>
      <c r="H314" s="22" t="s">
        <v>361</v>
      </c>
    </row>
    <row r="315" spans="1:8" x14ac:dyDescent="0.25">
      <c r="A315" s="3" t="str">
        <f>+Maestra[[#This Row],[SoldTO]]&amp;Maestra[[#This Row],[EAN]]&amp;Maestra[[#This Row],[Canal]]</f>
        <v>1001734673664798064728Retail</v>
      </c>
      <c r="B315" s="23" t="s">
        <v>292</v>
      </c>
      <c r="C315" s="23">
        <v>100173467</v>
      </c>
      <c r="D315" s="22" t="s">
        <v>9</v>
      </c>
      <c r="E315" s="23">
        <v>3664798064728</v>
      </c>
      <c r="F315" s="23">
        <v>846778</v>
      </c>
      <c r="G315" s="22">
        <v>436076</v>
      </c>
      <c r="H315" s="22" t="s">
        <v>362</v>
      </c>
    </row>
    <row r="316" spans="1:8" x14ac:dyDescent="0.25">
      <c r="A316" s="3" t="str">
        <f>+Maestra[[#This Row],[SoldTO]]&amp;Maestra[[#This Row],[EAN]]&amp;Maestra[[#This Row],[Canal]]</f>
        <v>1001734677703202221244Retail</v>
      </c>
      <c r="B316" s="23" t="s">
        <v>292</v>
      </c>
      <c r="C316" s="23">
        <v>100173467</v>
      </c>
      <c r="D316" s="22" t="s">
        <v>9</v>
      </c>
      <c r="E316" s="23">
        <v>7703202221244</v>
      </c>
      <c r="F316" s="23">
        <v>782065</v>
      </c>
      <c r="G316" s="22">
        <v>7588</v>
      </c>
      <c r="H316" s="22" t="s">
        <v>363</v>
      </c>
    </row>
    <row r="317" spans="1:8" x14ac:dyDescent="0.25">
      <c r="A317" s="3" t="str">
        <f>+Maestra[[#This Row],[SoldTO]]&amp;Maestra[[#This Row],[EAN]]&amp;Maestra[[#This Row],[Canal]]</f>
        <v>1001734677703202221336Retail</v>
      </c>
      <c r="B317" s="23" t="s">
        <v>292</v>
      </c>
      <c r="C317" s="23">
        <v>100173467</v>
      </c>
      <c r="D317" s="22" t="s">
        <v>9</v>
      </c>
      <c r="E317" s="23">
        <v>7703202221336</v>
      </c>
      <c r="F317" s="23">
        <v>782093</v>
      </c>
      <c r="G317" s="22">
        <v>7637</v>
      </c>
      <c r="H317" s="22" t="s">
        <v>364</v>
      </c>
    </row>
    <row r="318" spans="1:8" x14ac:dyDescent="0.25">
      <c r="A318" s="3" t="str">
        <f>+Maestra[[#This Row],[SoldTO]]&amp;Maestra[[#This Row],[EAN]]&amp;Maestra[[#This Row],[Canal]]</f>
        <v>1001734677703202221312Retail</v>
      </c>
      <c r="B318" s="23" t="s">
        <v>292</v>
      </c>
      <c r="C318" s="23">
        <v>100173467</v>
      </c>
      <c r="D318" s="22" t="s">
        <v>9</v>
      </c>
      <c r="E318" s="23">
        <v>7703202221312</v>
      </c>
      <c r="F318" s="23">
        <v>782091</v>
      </c>
      <c r="G318" s="22">
        <v>7636</v>
      </c>
      <c r="H318" s="22" t="s">
        <v>365</v>
      </c>
    </row>
    <row r="319" spans="1:8" x14ac:dyDescent="0.25">
      <c r="A319" s="3" t="str">
        <f>+Maestra[[#This Row],[SoldTO]]&amp;Maestra[[#This Row],[EAN]]&amp;Maestra[[#This Row],[Canal]]</f>
        <v>1001734677703202221329Retail</v>
      </c>
      <c r="B319" s="23" t="s">
        <v>292</v>
      </c>
      <c r="C319" s="23">
        <v>100173467</v>
      </c>
      <c r="D319" s="22" t="s">
        <v>9</v>
      </c>
      <c r="E319" s="23">
        <v>7703202221329</v>
      </c>
      <c r="F319" s="23">
        <v>782092</v>
      </c>
      <c r="G319" s="22">
        <v>7612</v>
      </c>
      <c r="H319" s="22" t="s">
        <v>366</v>
      </c>
    </row>
    <row r="320" spans="1:8" x14ac:dyDescent="0.25">
      <c r="A320" s="3" t="str">
        <f>+Maestra[[#This Row],[SoldTO]]&amp;Maestra[[#This Row],[EAN]]&amp;Maestra[[#This Row],[Canal]]</f>
        <v>1001734677703202221343Retail</v>
      </c>
      <c r="B320" s="23" t="s">
        <v>292</v>
      </c>
      <c r="C320" s="23">
        <v>100173467</v>
      </c>
      <c r="D320" s="22" t="s">
        <v>9</v>
      </c>
      <c r="E320" s="23">
        <v>7703202221343</v>
      </c>
      <c r="F320" s="23">
        <v>782094</v>
      </c>
      <c r="G320" s="22">
        <v>21971</v>
      </c>
      <c r="H320" s="22" t="s">
        <v>367</v>
      </c>
    </row>
    <row r="321" spans="1:8" x14ac:dyDescent="0.25">
      <c r="A321" s="3" t="str">
        <f>+Maestra[[#This Row],[SoldTO]]&amp;Maestra[[#This Row],[EAN]]&amp;Maestra[[#This Row],[Canal]]</f>
        <v>1001734677703202221305Retail</v>
      </c>
      <c r="B321" s="23" t="s">
        <v>292</v>
      </c>
      <c r="C321" s="23">
        <v>100173467</v>
      </c>
      <c r="D321" s="22" t="s">
        <v>9</v>
      </c>
      <c r="E321" s="23">
        <v>7703202221305</v>
      </c>
      <c r="F321" s="23">
        <v>782086</v>
      </c>
      <c r="G321" s="22">
        <v>7584</v>
      </c>
      <c r="H321" s="22" t="s">
        <v>368</v>
      </c>
    </row>
    <row r="322" spans="1:8" x14ac:dyDescent="0.25">
      <c r="A322" s="3" t="str">
        <f>+Maestra[[#This Row],[SoldTO]]&amp;Maestra[[#This Row],[EAN]]&amp;Maestra[[#This Row],[Canal]]</f>
        <v>1001734677703202221268Retail</v>
      </c>
      <c r="B322" s="23" t="s">
        <v>292</v>
      </c>
      <c r="C322" s="23">
        <v>100173467</v>
      </c>
      <c r="D322" s="22" t="s">
        <v>9</v>
      </c>
      <c r="E322" s="23">
        <v>7703202221268</v>
      </c>
      <c r="F322" s="23">
        <v>782066</v>
      </c>
      <c r="G322" s="22">
        <v>7628</v>
      </c>
      <c r="H322" s="22" t="s">
        <v>369</v>
      </c>
    </row>
    <row r="323" spans="1:8" x14ac:dyDescent="0.25">
      <c r="A323" s="3" t="str">
        <f>+Maestra[[#This Row],[SoldTO]]&amp;Maestra[[#This Row],[EAN]]&amp;Maestra[[#This Row],[Canal]]</f>
        <v>1001734677703202221282Retail</v>
      </c>
      <c r="B323" s="23" t="s">
        <v>292</v>
      </c>
      <c r="C323" s="23">
        <v>100173467</v>
      </c>
      <c r="D323" s="22" t="s">
        <v>9</v>
      </c>
      <c r="E323" s="23">
        <v>7703202221282</v>
      </c>
      <c r="F323" s="23">
        <v>782085</v>
      </c>
      <c r="G323" s="22">
        <v>7630</v>
      </c>
      <c r="H323" s="22" t="s">
        <v>370</v>
      </c>
    </row>
    <row r="324" spans="1:8" x14ac:dyDescent="0.25">
      <c r="A324" s="3" t="str">
        <f>+Maestra[[#This Row],[SoldTO]]&amp;Maestra[[#This Row],[EAN]]&amp;Maestra[[#This Row],[Canal]]</f>
        <v>1001734677703202221091Retail</v>
      </c>
      <c r="B324" s="23" t="s">
        <v>292</v>
      </c>
      <c r="C324" s="23">
        <v>100173467</v>
      </c>
      <c r="D324" s="22" t="s">
        <v>9</v>
      </c>
      <c r="E324" s="23">
        <v>7703202221091</v>
      </c>
      <c r="F324" s="23">
        <v>797130</v>
      </c>
      <c r="G324" s="22">
        <v>7587</v>
      </c>
      <c r="H324" s="22" t="s">
        <v>371</v>
      </c>
    </row>
    <row r="325" spans="1:8" x14ac:dyDescent="0.25">
      <c r="A325" s="3" t="str">
        <f>+Maestra[[#This Row],[SoldTO]]&amp;Maestra[[#This Row],[EAN]]&amp;Maestra[[#This Row],[Canal]]</f>
        <v>1001734677703202221169Retail</v>
      </c>
      <c r="B325" s="23" t="s">
        <v>292</v>
      </c>
      <c r="C325" s="23">
        <v>100173467</v>
      </c>
      <c r="D325" s="22" t="s">
        <v>9</v>
      </c>
      <c r="E325" s="23">
        <v>7703202221169</v>
      </c>
      <c r="F325" s="23">
        <v>715503</v>
      </c>
      <c r="G325" s="22">
        <v>7590</v>
      </c>
      <c r="H325" s="22" t="s">
        <v>372</v>
      </c>
    </row>
    <row r="326" spans="1:8" x14ac:dyDescent="0.25">
      <c r="A326" s="3" t="str">
        <f>+Maestra[[#This Row],[SoldTO]]&amp;Maestra[[#This Row],[EAN]]&amp;Maestra[[#This Row],[Canal]]</f>
        <v>1001734677703202221152Retail</v>
      </c>
      <c r="B326" s="23" t="s">
        <v>292</v>
      </c>
      <c r="C326" s="23">
        <v>100173467</v>
      </c>
      <c r="D326" s="22" t="s">
        <v>9</v>
      </c>
      <c r="E326" s="23">
        <v>7703202221152</v>
      </c>
      <c r="F326" s="23">
        <v>715506</v>
      </c>
      <c r="G326" s="22">
        <v>7589</v>
      </c>
      <c r="H326" s="22" t="s">
        <v>373</v>
      </c>
    </row>
    <row r="327" spans="1:8" x14ac:dyDescent="0.25">
      <c r="A327" s="3" t="str">
        <f>+Maestra[[#This Row],[SoldTO]]&amp;Maestra[[#This Row],[EAN]]&amp;Maestra[[#This Row],[Canal]]</f>
        <v>1001734677703202221176Retail</v>
      </c>
      <c r="B327" s="23" t="s">
        <v>292</v>
      </c>
      <c r="C327" s="23">
        <v>100173467</v>
      </c>
      <c r="D327" s="22" t="s">
        <v>9</v>
      </c>
      <c r="E327" s="23">
        <v>7703202221176</v>
      </c>
      <c r="F327" s="23">
        <v>715717</v>
      </c>
      <c r="G327" s="22">
        <v>7586</v>
      </c>
      <c r="H327" s="22" t="s">
        <v>374</v>
      </c>
    </row>
    <row r="328" spans="1:8" x14ac:dyDescent="0.25">
      <c r="A328" s="3" t="str">
        <f>+Maestra[[#This Row],[SoldTO]]&amp;Maestra[[#This Row],[EAN]]&amp;Maestra[[#This Row],[Canal]]</f>
        <v>1001734673582910009900Retail</v>
      </c>
      <c r="B328" s="23" t="s">
        <v>292</v>
      </c>
      <c r="C328" s="23">
        <v>100173467</v>
      </c>
      <c r="D328" s="22" t="s">
        <v>9</v>
      </c>
      <c r="E328" s="23">
        <v>3582910009900</v>
      </c>
      <c r="F328" s="23">
        <v>873229</v>
      </c>
      <c r="G328" s="22">
        <v>7620</v>
      </c>
      <c r="H328" s="22" t="s">
        <v>375</v>
      </c>
    </row>
    <row r="329" spans="1:8" x14ac:dyDescent="0.25">
      <c r="A329" s="3" t="str">
        <f>+Maestra[[#This Row],[SoldTO]]&amp;Maestra[[#This Row],[EAN]]&amp;Maestra[[#This Row],[Canal]]</f>
        <v>1001734677702771001561Retail</v>
      </c>
      <c r="B329" s="23" t="s">
        <v>292</v>
      </c>
      <c r="C329" s="23">
        <v>100173467</v>
      </c>
      <c r="D329" s="22" t="s">
        <v>9</v>
      </c>
      <c r="E329" s="23">
        <v>7702771001561</v>
      </c>
      <c r="F329" s="23">
        <v>873239</v>
      </c>
      <c r="G329" s="22">
        <v>7619</v>
      </c>
      <c r="H329" s="22" t="s">
        <v>376</v>
      </c>
    </row>
    <row r="330" spans="1:8" x14ac:dyDescent="0.25">
      <c r="A330" s="3" t="str">
        <f>+Maestra[[#This Row],[SoldTO]]&amp;Maestra[[#This Row],[EAN]]&amp;Maestra[[#This Row],[Canal]]</f>
        <v>1001734677703202003475Retail</v>
      </c>
      <c r="B330" s="23" t="s">
        <v>292</v>
      </c>
      <c r="C330" s="23">
        <v>100173467</v>
      </c>
      <c r="D330" s="22" t="s">
        <v>9</v>
      </c>
      <c r="E330" s="23">
        <v>7703202003475</v>
      </c>
      <c r="F330" s="23">
        <v>650554</v>
      </c>
      <c r="G330" s="22">
        <v>7635</v>
      </c>
      <c r="H330" s="22" t="s">
        <v>377</v>
      </c>
    </row>
    <row r="331" spans="1:8" x14ac:dyDescent="0.25">
      <c r="A331" s="3" t="str">
        <f>+Maestra[[#This Row],[SoldTO]]&amp;Maestra[[#This Row],[EAN]]&amp;Maestra[[#This Row],[Canal]]</f>
        <v>1001734677501165007956Retail</v>
      </c>
      <c r="B331" s="23" t="s">
        <v>292</v>
      </c>
      <c r="C331" s="23">
        <v>100173467</v>
      </c>
      <c r="D331" s="22" t="s">
        <v>9</v>
      </c>
      <c r="E331" s="23">
        <v>7501165007956</v>
      </c>
      <c r="F331" s="23">
        <v>655678</v>
      </c>
      <c r="G331" s="22">
        <v>7634</v>
      </c>
      <c r="H331" s="22" t="s">
        <v>378</v>
      </c>
    </row>
    <row r="332" spans="1:8" x14ac:dyDescent="0.25">
      <c r="A332" s="3" t="str">
        <f>+Maestra[[#This Row],[SoldTO]]&amp;Maestra[[#This Row],[EAN]]&amp;Maestra[[#This Row],[Canal]]</f>
        <v>1001734677591044401036Retail</v>
      </c>
      <c r="B332" s="23" t="s">
        <v>292</v>
      </c>
      <c r="C332" s="23">
        <v>100173467</v>
      </c>
      <c r="D332" s="22" t="s">
        <v>9</v>
      </c>
      <c r="E332" s="23">
        <v>7591044401036</v>
      </c>
      <c r="F332" s="23">
        <v>723871</v>
      </c>
      <c r="G332" s="22">
        <v>7591</v>
      </c>
      <c r="H332" s="22" t="s">
        <v>379</v>
      </c>
    </row>
    <row r="333" spans="1:8" x14ac:dyDescent="0.25">
      <c r="A333" s="3" t="str">
        <f>+Maestra[[#This Row],[SoldTO]]&amp;Maestra[[#This Row],[EAN]]&amp;Maestra[[#This Row],[Canal]]</f>
        <v>1001734677591044009447Retail</v>
      </c>
      <c r="B333" s="23" t="s">
        <v>292</v>
      </c>
      <c r="C333" s="23">
        <v>100173467</v>
      </c>
      <c r="D333" s="22" t="s">
        <v>9</v>
      </c>
      <c r="E333" s="23">
        <v>7591044009447</v>
      </c>
      <c r="F333" s="23">
        <v>120777</v>
      </c>
      <c r="G333" s="22">
        <v>7596</v>
      </c>
      <c r="H333" s="22" t="s">
        <v>380</v>
      </c>
    </row>
    <row r="334" spans="1:8" x14ac:dyDescent="0.25">
      <c r="A334" s="3" t="str">
        <f>+Maestra[[#This Row],[SoldTO]]&amp;Maestra[[#This Row],[EAN]]&amp;Maestra[[#This Row],[Canal]]</f>
        <v>1001734677591044007191Retail</v>
      </c>
      <c r="B334" s="23" t="s">
        <v>292</v>
      </c>
      <c r="C334" s="23">
        <v>100173467</v>
      </c>
      <c r="D334" s="22" t="s">
        <v>9</v>
      </c>
      <c r="E334" s="23">
        <v>7591044007191</v>
      </c>
      <c r="F334" s="23">
        <v>120786</v>
      </c>
      <c r="G334" s="22">
        <v>13921</v>
      </c>
      <c r="H334" s="22" t="s">
        <v>381</v>
      </c>
    </row>
    <row r="335" spans="1:8" x14ac:dyDescent="0.25">
      <c r="A335" s="3" t="str">
        <f>+Maestra[[#This Row],[SoldTO]]&amp;Maestra[[#This Row],[EAN]]&amp;Maestra[[#This Row],[Canal]]</f>
        <v>1001734677501165010444Retail</v>
      </c>
      <c r="B335" s="23" t="s">
        <v>292</v>
      </c>
      <c r="C335" s="23">
        <v>100173467</v>
      </c>
      <c r="D335" s="22" t="s">
        <v>9</v>
      </c>
      <c r="E335" s="23">
        <v>7501165010444</v>
      </c>
      <c r="F335" s="23">
        <v>600723</v>
      </c>
      <c r="G335" s="22">
        <v>7594</v>
      </c>
      <c r="H335" s="22" t="s">
        <v>382</v>
      </c>
    </row>
    <row r="336" spans="1:8" x14ac:dyDescent="0.25">
      <c r="A336" s="3" t="str">
        <f>+Maestra[[#This Row],[SoldTO]]&amp;Maestra[[#This Row],[EAN]]&amp;Maestra[[#This Row],[Canal]]</f>
        <v>1001734677703202221107Retail</v>
      </c>
      <c r="B336" s="23" t="s">
        <v>292</v>
      </c>
      <c r="C336" s="23">
        <v>100173467</v>
      </c>
      <c r="D336" s="22" t="s">
        <v>9</v>
      </c>
      <c r="E336" s="23">
        <v>7703202221107</v>
      </c>
      <c r="F336" s="23">
        <v>797125</v>
      </c>
      <c r="G336" s="22">
        <v>7617</v>
      </c>
      <c r="H336" s="22" t="s">
        <v>383</v>
      </c>
    </row>
    <row r="337" spans="1:8" x14ac:dyDescent="0.25">
      <c r="A337" s="3" t="str">
        <f>+Maestra[[#This Row],[SoldTO]]&amp;Maestra[[#This Row],[EAN]]&amp;Maestra[[#This Row],[Canal]]</f>
        <v>1001734497591044009447Retail</v>
      </c>
      <c r="B337" s="23" t="s">
        <v>384</v>
      </c>
      <c r="C337" s="23">
        <v>100173449</v>
      </c>
      <c r="D337" s="22" t="s">
        <v>9</v>
      </c>
      <c r="E337" s="23">
        <v>7591044009447</v>
      </c>
      <c r="F337" s="23">
        <v>120777</v>
      </c>
      <c r="G337" s="22">
        <v>0</v>
      </c>
      <c r="H337" s="22" t="s">
        <v>323</v>
      </c>
    </row>
    <row r="338" spans="1:8" x14ac:dyDescent="0.25">
      <c r="A338" s="3" t="str">
        <f>+Maestra[[#This Row],[SoldTO]]&amp;Maestra[[#This Row],[EAN]]&amp;Maestra[[#This Row],[Canal]]</f>
        <v>1001734497591044007191Retail</v>
      </c>
      <c r="B338" s="23" t="s">
        <v>384</v>
      </c>
      <c r="C338" s="23">
        <v>100173449</v>
      </c>
      <c r="D338" s="22" t="s">
        <v>9</v>
      </c>
      <c r="E338" s="23">
        <v>7591044007191</v>
      </c>
      <c r="F338" s="23">
        <v>120786</v>
      </c>
      <c r="G338" s="22">
        <v>0</v>
      </c>
      <c r="H338" s="22" t="s">
        <v>299</v>
      </c>
    </row>
    <row r="339" spans="1:8" x14ac:dyDescent="0.25">
      <c r="A339" s="3" t="str">
        <f>+Maestra[[#This Row],[SoldTO]]&amp;Maestra[[#This Row],[EAN]]&amp;Maestra[[#This Row],[Canal]]</f>
        <v>1001734497703202010329Retail</v>
      </c>
      <c r="B339" s="23" t="s">
        <v>384</v>
      </c>
      <c r="C339" s="23">
        <v>100173449</v>
      </c>
      <c r="D339" s="22" t="s">
        <v>9</v>
      </c>
      <c r="E339" s="23">
        <v>7703202010329</v>
      </c>
      <c r="F339" s="23">
        <v>341667</v>
      </c>
      <c r="G339" s="22">
        <v>0</v>
      </c>
      <c r="H339" s="22" t="s">
        <v>311</v>
      </c>
    </row>
    <row r="340" spans="1:8" x14ac:dyDescent="0.25">
      <c r="A340" s="3" t="str">
        <f>+Maestra[[#This Row],[SoldTO]]&amp;Maestra[[#This Row],[EAN]]&amp;Maestra[[#This Row],[Canal]]</f>
        <v>1001734497701165010444Retail</v>
      </c>
      <c r="B340" s="23" t="s">
        <v>384</v>
      </c>
      <c r="C340" s="23">
        <v>100173449</v>
      </c>
      <c r="D340" s="22" t="s">
        <v>9</v>
      </c>
      <c r="E340" s="23">
        <v>7701165010444</v>
      </c>
      <c r="F340" s="23">
        <v>600723</v>
      </c>
      <c r="G340" s="22">
        <v>0</v>
      </c>
      <c r="H340" s="22" t="s">
        <v>316</v>
      </c>
    </row>
    <row r="341" spans="1:8" x14ac:dyDescent="0.25">
      <c r="A341" s="3" t="str">
        <f>+Maestra[[#This Row],[SoldTO]]&amp;Maestra[[#This Row],[EAN]]&amp;Maestra[[#This Row],[Canal]]</f>
        <v>1001734497703202003475Retail</v>
      </c>
      <c r="B341" s="23" t="s">
        <v>384</v>
      </c>
      <c r="C341" s="23">
        <v>100173449</v>
      </c>
      <c r="D341" s="22" t="s">
        <v>9</v>
      </c>
      <c r="E341" s="23">
        <v>7703202003475</v>
      </c>
      <c r="F341" s="23">
        <v>650554</v>
      </c>
      <c r="G341" s="22">
        <v>0</v>
      </c>
      <c r="H341" s="22" t="s">
        <v>320</v>
      </c>
    </row>
    <row r="342" spans="1:8" x14ac:dyDescent="0.25">
      <c r="A342" s="3" t="str">
        <f>+Maestra[[#This Row],[SoldTO]]&amp;Maestra[[#This Row],[EAN]]&amp;Maestra[[#This Row],[Canal]]</f>
        <v>1001734497501165007956Retail</v>
      </c>
      <c r="B342" s="23" t="s">
        <v>384</v>
      </c>
      <c r="C342" s="23">
        <v>100173449</v>
      </c>
      <c r="D342" s="22" t="s">
        <v>9</v>
      </c>
      <c r="E342" s="23">
        <v>7501165007956</v>
      </c>
      <c r="F342" s="23">
        <v>655678</v>
      </c>
      <c r="G342" s="22">
        <v>0</v>
      </c>
      <c r="H342" s="22" t="s">
        <v>312</v>
      </c>
    </row>
    <row r="343" spans="1:8" x14ac:dyDescent="0.25">
      <c r="A343" s="3" t="str">
        <f>+Maestra[[#This Row],[SoldTO]]&amp;Maestra[[#This Row],[EAN]]&amp;Maestra[[#This Row],[Canal]]</f>
        <v>1001734497591044008952Retail</v>
      </c>
      <c r="B343" s="23" t="s">
        <v>384</v>
      </c>
      <c r="C343" s="23">
        <v>100173449</v>
      </c>
      <c r="D343" s="22" t="s">
        <v>9</v>
      </c>
      <c r="E343" s="23">
        <v>7591044008952</v>
      </c>
      <c r="F343" s="23">
        <v>666269</v>
      </c>
      <c r="G343" s="22">
        <v>0</v>
      </c>
      <c r="H343" s="22" t="s">
        <v>296</v>
      </c>
    </row>
    <row r="344" spans="1:8" x14ac:dyDescent="0.25">
      <c r="A344" s="3" t="str">
        <f>+Maestra[[#This Row],[SoldTO]]&amp;Maestra[[#This Row],[EAN]]&amp;Maestra[[#This Row],[Canal]]</f>
        <v>1001734497703202221169Retail</v>
      </c>
      <c r="B344" s="23" t="s">
        <v>384</v>
      </c>
      <c r="C344" s="23">
        <v>100173449</v>
      </c>
      <c r="D344" s="22" t="s">
        <v>9</v>
      </c>
      <c r="E344" s="23">
        <v>7703202221169</v>
      </c>
      <c r="F344" s="23">
        <v>715503</v>
      </c>
      <c r="G344" s="22">
        <v>0</v>
      </c>
      <c r="H344" s="22" t="s">
        <v>305</v>
      </c>
    </row>
    <row r="345" spans="1:8" x14ac:dyDescent="0.25">
      <c r="A345" s="3" t="str">
        <f>+Maestra[[#This Row],[SoldTO]]&amp;Maestra[[#This Row],[EAN]]&amp;Maestra[[#This Row],[Canal]]</f>
        <v>1001734497703202221152Retail</v>
      </c>
      <c r="B345" s="23" t="s">
        <v>384</v>
      </c>
      <c r="C345" s="23">
        <v>100173449</v>
      </c>
      <c r="D345" s="22" t="s">
        <v>9</v>
      </c>
      <c r="E345" s="23">
        <v>7703202221152</v>
      </c>
      <c r="F345" s="23">
        <v>715506</v>
      </c>
      <c r="G345" s="22">
        <v>0</v>
      </c>
      <c r="H345" s="22" t="s">
        <v>309</v>
      </c>
    </row>
    <row r="346" spans="1:8" x14ac:dyDescent="0.25">
      <c r="A346" s="3" t="str">
        <f>+Maestra[[#This Row],[SoldTO]]&amp;Maestra[[#This Row],[EAN]]&amp;Maestra[[#This Row],[Canal]]</f>
        <v>1001734497703381002146Retail</v>
      </c>
      <c r="B346" s="23" t="s">
        <v>384</v>
      </c>
      <c r="C346" s="23">
        <v>100173449</v>
      </c>
      <c r="D346" s="22" t="s">
        <v>9</v>
      </c>
      <c r="E346" s="23">
        <v>7703381002146</v>
      </c>
      <c r="F346" s="23">
        <v>715717</v>
      </c>
      <c r="G346" s="22">
        <v>0</v>
      </c>
      <c r="H346" s="22" t="s">
        <v>307</v>
      </c>
    </row>
    <row r="347" spans="1:8" x14ac:dyDescent="0.25">
      <c r="A347" s="3" t="str">
        <f>+Maestra[[#This Row],[SoldTO]]&amp;Maestra[[#This Row],[EAN]]&amp;Maestra[[#This Row],[Canal]]</f>
        <v>1001734497591044401036Retail</v>
      </c>
      <c r="B347" s="23" t="s">
        <v>384</v>
      </c>
      <c r="C347" s="23">
        <v>100173449</v>
      </c>
      <c r="D347" s="22" t="s">
        <v>9</v>
      </c>
      <c r="E347" s="23">
        <v>7591044401036</v>
      </c>
      <c r="F347" s="23">
        <v>723871</v>
      </c>
      <c r="G347" s="22">
        <v>0</v>
      </c>
      <c r="H347" s="22" t="s">
        <v>298</v>
      </c>
    </row>
    <row r="348" spans="1:8" x14ac:dyDescent="0.25">
      <c r="A348" s="3" t="str">
        <f>+Maestra[[#This Row],[SoldTO]]&amp;Maestra[[#This Row],[EAN]]&amp;Maestra[[#This Row],[Canal]]</f>
        <v>1001734497591044009010Retail</v>
      </c>
      <c r="B348" s="23" t="s">
        <v>384</v>
      </c>
      <c r="C348" s="23">
        <v>100173449</v>
      </c>
      <c r="D348" s="22" t="s">
        <v>9</v>
      </c>
      <c r="E348" s="23">
        <v>7591044009010</v>
      </c>
      <c r="F348" s="23">
        <v>732308</v>
      </c>
      <c r="G348" s="22">
        <v>0</v>
      </c>
      <c r="H348" s="22" t="s">
        <v>297</v>
      </c>
    </row>
    <row r="349" spans="1:8" x14ac:dyDescent="0.25">
      <c r="A349" s="3" t="str">
        <f>+Maestra[[#This Row],[SoldTO]]&amp;Maestra[[#This Row],[EAN]]&amp;Maestra[[#This Row],[Canal]]</f>
        <v>1001734497703202221220Retail</v>
      </c>
      <c r="B349" s="23" t="s">
        <v>384</v>
      </c>
      <c r="C349" s="23">
        <v>100173449</v>
      </c>
      <c r="D349" s="22" t="s">
        <v>9</v>
      </c>
      <c r="E349" s="23">
        <v>7703202221220</v>
      </c>
      <c r="F349" s="23">
        <v>781955</v>
      </c>
      <c r="G349" s="22">
        <v>0</v>
      </c>
      <c r="H349" s="22" t="s">
        <v>301</v>
      </c>
    </row>
    <row r="350" spans="1:8" x14ac:dyDescent="0.25">
      <c r="A350" s="3" t="str">
        <f>+Maestra[[#This Row],[SoldTO]]&amp;Maestra[[#This Row],[EAN]]&amp;Maestra[[#This Row],[Canal]]</f>
        <v>1001734497703202221244Retail</v>
      </c>
      <c r="B350" s="23" t="s">
        <v>384</v>
      </c>
      <c r="C350" s="23">
        <v>100173449</v>
      </c>
      <c r="D350" s="22" t="s">
        <v>9</v>
      </c>
      <c r="E350" s="23">
        <v>7703202221244</v>
      </c>
      <c r="F350" s="23">
        <v>782065</v>
      </c>
      <c r="G350" s="22">
        <v>0</v>
      </c>
      <c r="H350" s="22" t="s">
        <v>304</v>
      </c>
    </row>
    <row r="351" spans="1:8" x14ac:dyDescent="0.25">
      <c r="A351" s="3" t="str">
        <f>+Maestra[[#This Row],[SoldTO]]&amp;Maestra[[#This Row],[EAN]]&amp;Maestra[[#This Row],[Canal]]</f>
        <v>1001734497703202221282Retail</v>
      </c>
      <c r="B351" s="23" t="s">
        <v>384</v>
      </c>
      <c r="C351" s="23">
        <v>100173449</v>
      </c>
      <c r="D351" s="22" t="s">
        <v>9</v>
      </c>
      <c r="E351" s="23">
        <v>7703202221282</v>
      </c>
      <c r="F351" s="23">
        <v>782085</v>
      </c>
      <c r="G351" s="22">
        <v>0</v>
      </c>
      <c r="H351" s="22" t="s">
        <v>308</v>
      </c>
    </row>
    <row r="352" spans="1:8" x14ac:dyDescent="0.25">
      <c r="A352" s="3" t="str">
        <f>+Maestra[[#This Row],[SoldTO]]&amp;Maestra[[#This Row],[EAN]]&amp;Maestra[[#This Row],[Canal]]</f>
        <v>1001734497703202221305Retail</v>
      </c>
      <c r="B352" s="23" t="s">
        <v>384</v>
      </c>
      <c r="C352" s="23">
        <v>100173449</v>
      </c>
      <c r="D352" s="22" t="s">
        <v>9</v>
      </c>
      <c r="E352" s="23">
        <v>7703202221305</v>
      </c>
      <c r="F352" s="23">
        <v>782086</v>
      </c>
      <c r="G352" s="22">
        <v>0</v>
      </c>
      <c r="H352" s="22" t="s">
        <v>303</v>
      </c>
    </row>
    <row r="353" spans="1:8" x14ac:dyDescent="0.25">
      <c r="A353" s="3" t="str">
        <f>+Maestra[[#This Row],[SoldTO]]&amp;Maestra[[#This Row],[EAN]]&amp;Maestra[[#This Row],[Canal]]</f>
        <v>1001734497703202221381Retail</v>
      </c>
      <c r="B353" s="23" t="s">
        <v>384</v>
      </c>
      <c r="C353" s="23">
        <v>100173449</v>
      </c>
      <c r="D353" s="22" t="s">
        <v>9</v>
      </c>
      <c r="E353" s="23">
        <v>7703202221381</v>
      </c>
      <c r="F353" s="23">
        <v>782089</v>
      </c>
      <c r="G353" s="22">
        <v>0</v>
      </c>
      <c r="H353" s="22" t="s">
        <v>314</v>
      </c>
    </row>
    <row r="354" spans="1:8" x14ac:dyDescent="0.25">
      <c r="A354" s="3" t="str">
        <f>+Maestra[[#This Row],[SoldTO]]&amp;Maestra[[#This Row],[EAN]]&amp;Maestra[[#This Row],[Canal]]</f>
        <v>1001734497703202221428Retail</v>
      </c>
      <c r="B354" s="23" t="s">
        <v>384</v>
      </c>
      <c r="C354" s="23">
        <v>100173449</v>
      </c>
      <c r="D354" s="22" t="s">
        <v>9</v>
      </c>
      <c r="E354" s="23">
        <v>7703202221428</v>
      </c>
      <c r="F354" s="23">
        <v>782090</v>
      </c>
      <c r="G354" s="22">
        <v>0</v>
      </c>
      <c r="H354" s="22" t="s">
        <v>313</v>
      </c>
    </row>
    <row r="355" spans="1:8" x14ac:dyDescent="0.25">
      <c r="A355" s="3" t="str">
        <f>+Maestra[[#This Row],[SoldTO]]&amp;Maestra[[#This Row],[EAN]]&amp;Maestra[[#This Row],[Canal]]</f>
        <v>1001734497703202221312Retail</v>
      </c>
      <c r="B355" s="23" t="s">
        <v>384</v>
      </c>
      <c r="C355" s="23">
        <v>100173449</v>
      </c>
      <c r="D355" s="22" t="s">
        <v>9</v>
      </c>
      <c r="E355" s="23">
        <v>7703202221312</v>
      </c>
      <c r="F355" s="23">
        <v>782091</v>
      </c>
      <c r="G355" s="22">
        <v>0</v>
      </c>
      <c r="H355" s="22" t="s">
        <v>317</v>
      </c>
    </row>
    <row r="356" spans="1:8" x14ac:dyDescent="0.25">
      <c r="A356" s="3" t="str">
        <f>+Maestra[[#This Row],[SoldTO]]&amp;Maestra[[#This Row],[EAN]]&amp;Maestra[[#This Row],[Canal]]</f>
        <v>1001734497703202221329Retail</v>
      </c>
      <c r="B356" s="23" t="s">
        <v>384</v>
      </c>
      <c r="C356" s="23">
        <v>100173449</v>
      </c>
      <c r="D356" s="22" t="s">
        <v>9</v>
      </c>
      <c r="E356" s="23">
        <v>7703202221329</v>
      </c>
      <c r="F356" s="23">
        <v>782092</v>
      </c>
      <c r="G356" s="22">
        <v>0</v>
      </c>
      <c r="H356" s="22" t="s">
        <v>318</v>
      </c>
    </row>
    <row r="357" spans="1:8" x14ac:dyDescent="0.25">
      <c r="A357" s="3" t="str">
        <f>+Maestra[[#This Row],[SoldTO]]&amp;Maestra[[#This Row],[EAN]]&amp;Maestra[[#This Row],[Canal]]</f>
        <v>1001734497703202221336Retail</v>
      </c>
      <c r="B357" s="23" t="s">
        <v>384</v>
      </c>
      <c r="C357" s="23">
        <v>100173449</v>
      </c>
      <c r="D357" s="22" t="s">
        <v>9</v>
      </c>
      <c r="E357" s="23">
        <v>7703202221336</v>
      </c>
      <c r="F357" s="23">
        <v>782093</v>
      </c>
      <c r="G357" s="22">
        <v>0</v>
      </c>
      <c r="H357" s="22" t="s">
        <v>319</v>
      </c>
    </row>
    <row r="358" spans="1:8" x14ac:dyDescent="0.25">
      <c r="A358" s="3" t="str">
        <f>+Maestra[[#This Row],[SoldTO]]&amp;Maestra[[#This Row],[EAN]]&amp;Maestra[[#This Row],[Canal]]</f>
        <v>1001734497795312100090Retail</v>
      </c>
      <c r="B358" s="23" t="s">
        <v>384</v>
      </c>
      <c r="C358" s="23">
        <v>100173449</v>
      </c>
      <c r="D358" s="22" t="s">
        <v>9</v>
      </c>
      <c r="E358" s="23">
        <v>7795312100090</v>
      </c>
      <c r="F358" s="23">
        <v>785678</v>
      </c>
      <c r="G358" s="22">
        <v>0</v>
      </c>
      <c r="H358" s="22" t="s">
        <v>310</v>
      </c>
    </row>
    <row r="359" spans="1:8" x14ac:dyDescent="0.25">
      <c r="A359" s="3" t="str">
        <f>+Maestra[[#This Row],[SoldTO]]&amp;Maestra[[#This Row],[EAN]]&amp;Maestra[[#This Row],[Canal]]</f>
        <v>1001734497703202221091Retail</v>
      </c>
      <c r="B359" s="23" t="s">
        <v>384</v>
      </c>
      <c r="C359" s="23">
        <v>100173449</v>
      </c>
      <c r="D359" s="22" t="s">
        <v>9</v>
      </c>
      <c r="E359" s="23">
        <v>7703202221091</v>
      </c>
      <c r="F359" s="23">
        <v>797130</v>
      </c>
      <c r="G359" s="22">
        <v>0</v>
      </c>
      <c r="H359" s="22" t="s">
        <v>302</v>
      </c>
    </row>
    <row r="360" spans="1:8" x14ac:dyDescent="0.25">
      <c r="A360" s="3" t="str">
        <f>+Maestra[[#This Row],[SoldTO]]&amp;Maestra[[#This Row],[EAN]]&amp;Maestra[[#This Row],[Canal]]</f>
        <v>1001734493664798064728Retail</v>
      </c>
      <c r="B360" s="23" t="s">
        <v>384</v>
      </c>
      <c r="C360" s="23">
        <v>100173449</v>
      </c>
      <c r="D360" s="22" t="s">
        <v>9</v>
      </c>
      <c r="E360" s="23">
        <v>3664798064728</v>
      </c>
      <c r="F360" s="23">
        <v>846778</v>
      </c>
      <c r="G360" s="22">
        <v>0</v>
      </c>
      <c r="H360" s="22" t="s">
        <v>322</v>
      </c>
    </row>
    <row r="361" spans="1:8" x14ac:dyDescent="0.25">
      <c r="A361" s="3" t="str">
        <f>+Maestra[[#This Row],[SoldTO]]&amp;Maestra[[#This Row],[EAN]]&amp;Maestra[[#This Row],[Canal]]</f>
        <v>1001734493582910009900Retail</v>
      </c>
      <c r="B361" s="23" t="s">
        <v>384</v>
      </c>
      <c r="C361" s="23">
        <v>100173449</v>
      </c>
      <c r="D361" s="22" t="s">
        <v>9</v>
      </c>
      <c r="E361" s="23">
        <v>3582910009900</v>
      </c>
      <c r="F361" s="23">
        <v>873229</v>
      </c>
      <c r="G361" s="22">
        <v>0</v>
      </c>
      <c r="H361" s="22" t="s">
        <v>306</v>
      </c>
    </row>
    <row r="362" spans="1:8" x14ac:dyDescent="0.25">
      <c r="A362" s="3" t="str">
        <f>+Maestra[[#This Row],[SoldTO]]&amp;Maestra[[#This Row],[EAN]]&amp;Maestra[[#This Row],[Canal]]</f>
        <v>1001734497702771001561Retail</v>
      </c>
      <c r="B362" s="23" t="s">
        <v>384</v>
      </c>
      <c r="C362" s="23">
        <v>100173449</v>
      </c>
      <c r="D362" s="22" t="s">
        <v>9</v>
      </c>
      <c r="E362" s="23">
        <v>7702771001561</v>
      </c>
      <c r="F362" s="23">
        <v>873239</v>
      </c>
      <c r="G362" s="22">
        <v>0</v>
      </c>
      <c r="H362" s="22" t="s">
        <v>315</v>
      </c>
    </row>
    <row r="363" spans="1:8" x14ac:dyDescent="0.25">
      <c r="A363" s="3" t="str">
        <f>+Maestra[[#This Row],[SoldTO]]&amp;Maestra[[#This Row],[EAN]]&amp;Maestra[[#This Row],[Canal]]</f>
        <v>1001734493664798066531Retail</v>
      </c>
      <c r="B363" s="23" t="s">
        <v>384</v>
      </c>
      <c r="C363" s="23">
        <v>100173449</v>
      </c>
      <c r="D363" s="22" t="s">
        <v>9</v>
      </c>
      <c r="E363" s="23">
        <v>3664798066531</v>
      </c>
      <c r="F363" s="23">
        <v>882451</v>
      </c>
      <c r="G363" s="22">
        <v>0</v>
      </c>
      <c r="H363" s="22" t="s">
        <v>339</v>
      </c>
    </row>
    <row r="364" spans="1:8" x14ac:dyDescent="0.25">
      <c r="A364" s="3" t="str">
        <f>+Maestra[[#This Row],[SoldTO]]&amp;Maestra[[#This Row],[EAN]]&amp;Maestra[[#This Row],[Canal]]</f>
        <v>1001735277703202221237Retail</v>
      </c>
      <c r="B364" s="23" t="s">
        <v>324</v>
      </c>
      <c r="C364" s="23">
        <v>100173527</v>
      </c>
      <c r="D364" s="22" t="s">
        <v>9</v>
      </c>
      <c r="E364" s="23">
        <v>7703202221237</v>
      </c>
      <c r="F364" s="23">
        <v>782064</v>
      </c>
      <c r="G364" s="22" t="s">
        <v>385</v>
      </c>
      <c r="H364" s="22" t="s">
        <v>300</v>
      </c>
    </row>
    <row r="365" spans="1:8" x14ac:dyDescent="0.25">
      <c r="A365" s="3" t="str">
        <f>+Maestra[[#This Row],[SoldTO]]&amp;Maestra[[#This Row],[EAN]]&amp;Maestra[[#This Row],[Canal]]</f>
        <v>1001735277703202221275Retail</v>
      </c>
      <c r="B365" s="23" t="s">
        <v>324</v>
      </c>
      <c r="C365" s="23">
        <v>100173527</v>
      </c>
      <c r="D365" s="22" t="s">
        <v>9</v>
      </c>
      <c r="E365" s="23">
        <v>7703202221275</v>
      </c>
      <c r="F365" s="23">
        <v>782074</v>
      </c>
      <c r="G365" s="22" t="s">
        <v>386</v>
      </c>
      <c r="H365" s="22" t="s">
        <v>295</v>
      </c>
    </row>
    <row r="366" spans="1:8" x14ac:dyDescent="0.25">
      <c r="A366" s="3" t="str">
        <f>+Maestra[[#This Row],[SoldTO]]&amp;Maestra[[#This Row],[EAN]]&amp;Maestra[[#This Row],[Canal]]</f>
        <v>1001735277703202221275Retail</v>
      </c>
      <c r="B366" s="23" t="s">
        <v>324</v>
      </c>
      <c r="C366" s="23">
        <v>100173527</v>
      </c>
      <c r="D366" s="22" t="s">
        <v>9</v>
      </c>
      <c r="E366" s="23">
        <v>7703202221275</v>
      </c>
      <c r="F366" s="23">
        <v>939016</v>
      </c>
      <c r="G366" s="22" t="s">
        <v>386</v>
      </c>
      <c r="H366" s="22" t="s">
        <v>295</v>
      </c>
    </row>
    <row r="367" spans="1:8" x14ac:dyDescent="0.25">
      <c r="A367" s="3" t="str">
        <f>+Maestra[[#This Row],[SoldTO]]&amp;Maestra[[#This Row],[EAN]]&amp;Maestra[[#This Row],[Canal]]</f>
        <v>1001734497703202221275Retail</v>
      </c>
      <c r="B367" s="23" t="s">
        <v>384</v>
      </c>
      <c r="C367" s="23">
        <v>100173449</v>
      </c>
      <c r="D367" s="22" t="s">
        <v>9</v>
      </c>
      <c r="E367" s="23">
        <v>7703202221275</v>
      </c>
      <c r="F367" s="23">
        <v>782074</v>
      </c>
      <c r="G367" s="22">
        <v>0</v>
      </c>
      <c r="H367" s="22" t="s">
        <v>295</v>
      </c>
    </row>
    <row r="368" spans="1:8" ht="15.75" thickBot="1" x14ac:dyDescent="0.3">
      <c r="A368" s="3" t="str">
        <f>+Maestra[[#This Row],[SoldTO]]&amp;Maestra[[#This Row],[EAN]]&amp;Maestra[[#This Row],[Canal]]</f>
        <v>1001734497703202221275Retail</v>
      </c>
      <c r="B368" s="23" t="s">
        <v>384</v>
      </c>
      <c r="C368" s="23">
        <v>100173449</v>
      </c>
      <c r="D368" s="22" t="s">
        <v>9</v>
      </c>
      <c r="E368" s="23">
        <v>7703202221275</v>
      </c>
      <c r="F368" s="23">
        <v>939016</v>
      </c>
      <c r="G368" s="22">
        <v>0</v>
      </c>
      <c r="H368" s="22" t="s">
        <v>295</v>
      </c>
    </row>
    <row r="369" spans="1:8" x14ac:dyDescent="0.25">
      <c r="A369" s="3" t="str">
        <f>+Maestra[[#This Row],[SoldTO]]&amp;Maestra[[#This Row],[EAN]]&amp;Maestra[[#This Row],[Canal]]</f>
        <v>1001735103664798066531Retail</v>
      </c>
      <c r="B369" s="28" t="s">
        <v>294</v>
      </c>
      <c r="C369" s="29">
        <v>100173510</v>
      </c>
      <c r="D369" s="30" t="s">
        <v>9</v>
      </c>
      <c r="E369" s="29">
        <v>3664798066531</v>
      </c>
      <c r="F369" s="29">
        <v>882451</v>
      </c>
      <c r="G369" s="31">
        <v>100028578</v>
      </c>
      <c r="H369" s="32" t="s">
        <v>339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"/>
  <sheetViews>
    <sheetView topLeftCell="A10" workbookViewId="0">
      <selection activeCell="C14" sqref="C14"/>
    </sheetView>
  </sheetViews>
  <sheetFormatPr baseColWidth="10" defaultRowHeight="15" x14ac:dyDescent="0.25"/>
  <cols>
    <col min="1" max="1" width="9.5703125" bestFit="1" customWidth="1"/>
    <col min="2" max="2" width="48.140625" bestFit="1" customWidth="1"/>
    <col min="3" max="3" width="30.42578125" bestFit="1" customWidth="1"/>
  </cols>
  <sheetData>
    <row r="1" spans="1:3" x14ac:dyDescent="0.25">
      <c r="A1" s="10" t="s">
        <v>67</v>
      </c>
      <c r="B1" s="11" t="s">
        <v>68</v>
      </c>
      <c r="C1" s="11" t="s">
        <v>69</v>
      </c>
    </row>
    <row r="2" spans="1:3" x14ac:dyDescent="0.25">
      <c r="A2" s="12">
        <v>10</v>
      </c>
      <c r="B2" s="13" t="s">
        <v>70</v>
      </c>
      <c r="C2" s="13" t="s">
        <v>71</v>
      </c>
    </row>
    <row r="3" spans="1:3" x14ac:dyDescent="0.25">
      <c r="A3" s="12" t="s">
        <v>72</v>
      </c>
      <c r="B3" s="13" t="s">
        <v>73</v>
      </c>
      <c r="C3" s="13" t="s">
        <v>74</v>
      </c>
    </row>
    <row r="4" spans="1:3" x14ac:dyDescent="0.25">
      <c r="A4" s="12" t="s">
        <v>75</v>
      </c>
      <c r="B4" s="13" t="s">
        <v>76</v>
      </c>
      <c r="C4" s="13" t="s">
        <v>77</v>
      </c>
    </row>
    <row r="5" spans="1:3" x14ac:dyDescent="0.25">
      <c r="A5" s="12" t="s">
        <v>78</v>
      </c>
      <c r="B5" s="13" t="s">
        <v>79</v>
      </c>
      <c r="C5" s="13" t="s">
        <v>80</v>
      </c>
    </row>
    <row r="6" spans="1:3" x14ac:dyDescent="0.25">
      <c r="A6" s="12" t="s">
        <v>81</v>
      </c>
      <c r="B6" s="13" t="s">
        <v>82</v>
      </c>
      <c r="C6" s="13" t="s">
        <v>83</v>
      </c>
    </row>
    <row r="7" spans="1:3" x14ac:dyDescent="0.25">
      <c r="A7" s="12" t="s">
        <v>84</v>
      </c>
      <c r="B7" s="13" t="s">
        <v>85</v>
      </c>
      <c r="C7" s="13" t="s">
        <v>86</v>
      </c>
    </row>
    <row r="8" spans="1:3" x14ac:dyDescent="0.25">
      <c r="A8" s="12" t="s">
        <v>87</v>
      </c>
      <c r="B8" s="13" t="s">
        <v>88</v>
      </c>
      <c r="C8" s="13" t="s">
        <v>86</v>
      </c>
    </row>
    <row r="9" spans="1:3" x14ac:dyDescent="0.25">
      <c r="A9" s="12" t="s">
        <v>89</v>
      </c>
      <c r="B9" s="13" t="s">
        <v>90</v>
      </c>
      <c r="C9" s="13" t="s">
        <v>91</v>
      </c>
    </row>
    <row r="10" spans="1:3" x14ac:dyDescent="0.25">
      <c r="A10" s="12" t="s">
        <v>92</v>
      </c>
      <c r="B10" s="13" t="s">
        <v>93</v>
      </c>
      <c r="C10" s="13" t="s">
        <v>94</v>
      </c>
    </row>
    <row r="11" spans="1:3" x14ac:dyDescent="0.25">
      <c r="A11" s="12" t="s">
        <v>95</v>
      </c>
      <c r="B11" s="13" t="s">
        <v>96</v>
      </c>
      <c r="C11" s="13" t="s">
        <v>97</v>
      </c>
    </row>
    <row r="12" spans="1:3" x14ac:dyDescent="0.25">
      <c r="A12" s="12" t="s">
        <v>98</v>
      </c>
      <c r="B12" s="13" t="s">
        <v>99</v>
      </c>
      <c r="C12" s="14" t="s">
        <v>100</v>
      </c>
    </row>
    <row r="13" spans="1:3" x14ac:dyDescent="0.25">
      <c r="A13" s="12" t="s">
        <v>101</v>
      </c>
      <c r="B13" s="13" t="s">
        <v>102</v>
      </c>
      <c r="C13" s="14" t="s">
        <v>100</v>
      </c>
    </row>
    <row r="14" spans="1:3" x14ac:dyDescent="0.25">
      <c r="A14" s="12" t="s">
        <v>103</v>
      </c>
      <c r="B14" s="13" t="s">
        <v>104</v>
      </c>
      <c r="C14" s="14" t="s">
        <v>139</v>
      </c>
    </row>
    <row r="15" spans="1:3" x14ac:dyDescent="0.25">
      <c r="A15" s="12" t="s">
        <v>105</v>
      </c>
      <c r="B15" s="13" t="s">
        <v>106</v>
      </c>
      <c r="C15" s="14" t="s">
        <v>100</v>
      </c>
    </row>
    <row r="16" spans="1:3" x14ac:dyDescent="0.25">
      <c r="A16" s="12" t="s">
        <v>107</v>
      </c>
      <c r="B16" s="13"/>
      <c r="C16" s="13" t="s">
        <v>108</v>
      </c>
    </row>
    <row r="17" spans="1:3" x14ac:dyDescent="0.25">
      <c r="A17" s="12" t="s">
        <v>109</v>
      </c>
      <c r="B17" s="13" t="s">
        <v>110</v>
      </c>
      <c r="C17" s="15" t="s">
        <v>100</v>
      </c>
    </row>
    <row r="18" spans="1:3" x14ac:dyDescent="0.25">
      <c r="A18" s="12" t="s">
        <v>111</v>
      </c>
      <c r="B18" s="13" t="s">
        <v>112</v>
      </c>
      <c r="C18" s="14" t="s">
        <v>100</v>
      </c>
    </row>
    <row r="19" spans="1:3" x14ac:dyDescent="0.25">
      <c r="A19" s="12" t="s">
        <v>113</v>
      </c>
      <c r="B19" s="13" t="s">
        <v>114</v>
      </c>
      <c r="C19" s="14" t="s">
        <v>100</v>
      </c>
    </row>
    <row r="20" spans="1:3" x14ac:dyDescent="0.25">
      <c r="A20" s="12" t="s">
        <v>115</v>
      </c>
      <c r="B20" s="13" t="s">
        <v>116</v>
      </c>
      <c r="C20" s="13" t="s">
        <v>91</v>
      </c>
    </row>
    <row r="21" spans="1:3" x14ac:dyDescent="0.25">
      <c r="A21" s="12" t="s">
        <v>117</v>
      </c>
      <c r="B21" s="13" t="s">
        <v>118</v>
      </c>
      <c r="C21" s="13" t="s">
        <v>119</v>
      </c>
    </row>
    <row r="22" spans="1:3" x14ac:dyDescent="0.25">
      <c r="A22" s="12" t="s">
        <v>120</v>
      </c>
      <c r="B22" s="13" t="s">
        <v>121</v>
      </c>
      <c r="C22" s="13" t="s">
        <v>122</v>
      </c>
    </row>
    <row r="23" spans="1:3" x14ac:dyDescent="0.25">
      <c r="A23" s="12" t="s">
        <v>123</v>
      </c>
      <c r="B23" s="13" t="s">
        <v>124</v>
      </c>
      <c r="C23" s="13" t="s">
        <v>125</v>
      </c>
    </row>
    <row r="24" spans="1:3" x14ac:dyDescent="0.25">
      <c r="A24" s="12" t="s">
        <v>126</v>
      </c>
      <c r="B24" s="13" t="s">
        <v>127</v>
      </c>
      <c r="C24" s="13" t="s">
        <v>128</v>
      </c>
    </row>
    <row r="25" spans="1:3" x14ac:dyDescent="0.25">
      <c r="A25" s="12" t="s">
        <v>129</v>
      </c>
      <c r="B25" s="13" t="s">
        <v>130</v>
      </c>
      <c r="C25" s="13" t="s">
        <v>131</v>
      </c>
    </row>
    <row r="26" spans="1:3" x14ac:dyDescent="0.25">
      <c r="A26" s="12" t="s">
        <v>132</v>
      </c>
      <c r="B26" s="13" t="s">
        <v>133</v>
      </c>
      <c r="C26" s="13" t="s">
        <v>134</v>
      </c>
    </row>
    <row r="27" spans="1:3" x14ac:dyDescent="0.25">
      <c r="A27" s="12" t="s">
        <v>135</v>
      </c>
      <c r="B27" s="13" t="s">
        <v>136</v>
      </c>
      <c r="C27" s="13" t="s">
        <v>128</v>
      </c>
    </row>
    <row r="28" spans="1:3" x14ac:dyDescent="0.25">
      <c r="A28" s="12" t="s">
        <v>137</v>
      </c>
      <c r="B28" s="13" t="s">
        <v>138</v>
      </c>
      <c r="C28" s="13" t="s">
        <v>77</v>
      </c>
    </row>
    <row r="29" spans="1:3" x14ac:dyDescent="0.25">
      <c r="A29" s="12" t="s">
        <v>140</v>
      </c>
      <c r="B29" s="13" t="s">
        <v>141</v>
      </c>
      <c r="C29" s="13" t="s">
        <v>142</v>
      </c>
    </row>
    <row r="30" spans="1:3" x14ac:dyDescent="0.25">
      <c r="A30" s="16" t="s">
        <v>143</v>
      </c>
      <c r="B30" s="17" t="s">
        <v>144</v>
      </c>
      <c r="C30" s="17" t="s">
        <v>100</v>
      </c>
    </row>
    <row r="31" spans="1:3" x14ac:dyDescent="0.25">
      <c r="A31" s="16" t="s">
        <v>145</v>
      </c>
      <c r="B31" s="17" t="s">
        <v>146</v>
      </c>
      <c r="C31" s="17" t="s">
        <v>100</v>
      </c>
    </row>
    <row r="32" spans="1:3" x14ac:dyDescent="0.25">
      <c r="A32" s="16" t="s">
        <v>147</v>
      </c>
      <c r="B32" s="17" t="s">
        <v>148</v>
      </c>
      <c r="C32" s="17" t="s">
        <v>100</v>
      </c>
    </row>
    <row r="33" spans="1:3" x14ac:dyDescent="0.25">
      <c r="A33" s="16" t="s">
        <v>149</v>
      </c>
      <c r="B33" s="17" t="s">
        <v>150</v>
      </c>
      <c r="C33" s="17" t="s">
        <v>100</v>
      </c>
    </row>
    <row r="34" spans="1:3" x14ac:dyDescent="0.25">
      <c r="A34" s="16" t="s">
        <v>151</v>
      </c>
      <c r="B34" s="17" t="s">
        <v>152</v>
      </c>
      <c r="C34" s="17" t="s">
        <v>100</v>
      </c>
    </row>
    <row r="35" spans="1:3" x14ac:dyDescent="0.25">
      <c r="A35" s="16" t="s">
        <v>153</v>
      </c>
      <c r="B35" s="17" t="s">
        <v>154</v>
      </c>
      <c r="C35" s="17" t="s">
        <v>100</v>
      </c>
    </row>
    <row r="36" spans="1:3" x14ac:dyDescent="0.25">
      <c r="A36" s="16" t="s">
        <v>155</v>
      </c>
      <c r="B36" s="17" t="s">
        <v>156</v>
      </c>
      <c r="C36" s="17" t="s">
        <v>157</v>
      </c>
    </row>
    <row r="37" spans="1:3" x14ac:dyDescent="0.25">
      <c r="A37" s="16" t="s">
        <v>158</v>
      </c>
      <c r="B37" s="17" t="s">
        <v>159</v>
      </c>
      <c r="C37" s="17" t="s">
        <v>160</v>
      </c>
    </row>
    <row r="38" spans="1:3" x14ac:dyDescent="0.25">
      <c r="A38" s="16" t="s">
        <v>161</v>
      </c>
      <c r="B38" s="17" t="s">
        <v>162</v>
      </c>
      <c r="C38" s="17" t="s">
        <v>163</v>
      </c>
    </row>
    <row r="39" spans="1:3" x14ac:dyDescent="0.25">
      <c r="A39" s="16" t="s">
        <v>164</v>
      </c>
      <c r="B39" s="17" t="s">
        <v>165</v>
      </c>
      <c r="C39" s="17" t="s">
        <v>100</v>
      </c>
    </row>
    <row r="40" spans="1:3" x14ac:dyDescent="0.25">
      <c r="A40" s="16" t="s">
        <v>166</v>
      </c>
      <c r="B40" s="17" t="s">
        <v>167</v>
      </c>
      <c r="C40" s="17" t="s">
        <v>100</v>
      </c>
    </row>
    <row r="41" spans="1:3" x14ac:dyDescent="0.25">
      <c r="A41" s="16" t="s">
        <v>168</v>
      </c>
      <c r="B41" s="17" t="s">
        <v>169</v>
      </c>
      <c r="C41" s="17" t="s">
        <v>100</v>
      </c>
    </row>
    <row r="42" spans="1:3" x14ac:dyDescent="0.25">
      <c r="A42" s="16" t="s">
        <v>170</v>
      </c>
      <c r="B42" s="17" t="s">
        <v>171</v>
      </c>
      <c r="C42" s="17" t="s">
        <v>100</v>
      </c>
    </row>
    <row r="43" spans="1:3" x14ac:dyDescent="0.25">
      <c r="A43" s="16" t="s">
        <v>172</v>
      </c>
      <c r="B43" s="17" t="s">
        <v>173</v>
      </c>
      <c r="C43" s="17" t="s">
        <v>100</v>
      </c>
    </row>
    <row r="44" spans="1:3" x14ac:dyDescent="0.25">
      <c r="A44" s="16" t="s">
        <v>174</v>
      </c>
      <c r="B44" s="17" t="s">
        <v>175</v>
      </c>
      <c r="C44" s="17" t="s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4"/>
  <sheetViews>
    <sheetView tabSelected="1" zoomScale="85" zoomScaleNormal="85" workbookViewId="0">
      <selection activeCell="H40" sqref="H40"/>
    </sheetView>
  </sheetViews>
  <sheetFormatPr baseColWidth="10" defaultRowHeight="15" x14ac:dyDescent="0.25"/>
  <cols>
    <col min="1" max="1" width="5" bestFit="1" customWidth="1"/>
    <col min="2" max="2" width="48.140625" bestFit="1" customWidth="1"/>
    <col min="3" max="3" width="30.42578125" bestFit="1" customWidth="1"/>
  </cols>
  <sheetData>
    <row r="1" spans="1:3" x14ac:dyDescent="0.25">
      <c r="A1" s="33" t="s">
        <v>387</v>
      </c>
      <c r="B1" s="33" t="s">
        <v>68</v>
      </c>
      <c r="C1" s="33" t="s">
        <v>69</v>
      </c>
    </row>
    <row r="2" spans="1:3" x14ac:dyDescent="0.25">
      <c r="A2" s="35">
        <v>10</v>
      </c>
      <c r="B2" s="34" t="s">
        <v>70</v>
      </c>
      <c r="C2" s="34" t="s">
        <v>71</v>
      </c>
    </row>
    <row r="3" spans="1:3" x14ac:dyDescent="0.25">
      <c r="A3" s="35" t="s">
        <v>72</v>
      </c>
      <c r="B3" s="34" t="s">
        <v>73</v>
      </c>
      <c r="C3" s="34" t="s">
        <v>74</v>
      </c>
    </row>
    <row r="4" spans="1:3" x14ac:dyDescent="0.25">
      <c r="A4" s="35" t="s">
        <v>75</v>
      </c>
      <c r="B4" s="34" t="s">
        <v>76</v>
      </c>
      <c r="C4" s="34" t="s">
        <v>77</v>
      </c>
    </row>
    <row r="5" spans="1:3" ht="30" x14ac:dyDescent="0.25">
      <c r="A5" s="35" t="s">
        <v>78</v>
      </c>
      <c r="B5" s="34" t="s">
        <v>79</v>
      </c>
      <c r="C5" s="34" t="s">
        <v>80</v>
      </c>
    </row>
    <row r="6" spans="1:3" ht="30" x14ac:dyDescent="0.25">
      <c r="A6" s="35" t="s">
        <v>81</v>
      </c>
      <c r="B6" s="34" t="s">
        <v>82</v>
      </c>
      <c r="C6" s="34" t="s">
        <v>83</v>
      </c>
    </row>
    <row r="7" spans="1:3" x14ac:dyDescent="0.25">
      <c r="A7" s="35" t="s">
        <v>84</v>
      </c>
      <c r="B7" s="34" t="s">
        <v>85</v>
      </c>
      <c r="C7" s="34" t="s">
        <v>86</v>
      </c>
    </row>
    <row r="8" spans="1:3" x14ac:dyDescent="0.25">
      <c r="A8" s="35" t="s">
        <v>87</v>
      </c>
      <c r="B8" s="34" t="s">
        <v>88</v>
      </c>
      <c r="C8" s="34" t="s">
        <v>86</v>
      </c>
    </row>
    <row r="9" spans="1:3" x14ac:dyDescent="0.25">
      <c r="A9" s="35" t="s">
        <v>89</v>
      </c>
      <c r="B9" s="34" t="s">
        <v>90</v>
      </c>
      <c r="C9" s="34" t="s">
        <v>91</v>
      </c>
    </row>
    <row r="10" spans="1:3" x14ac:dyDescent="0.25">
      <c r="A10" s="35" t="s">
        <v>92</v>
      </c>
      <c r="B10" s="34" t="s">
        <v>93</v>
      </c>
      <c r="C10" s="34" t="s">
        <v>94</v>
      </c>
    </row>
    <row r="11" spans="1:3" x14ac:dyDescent="0.25">
      <c r="A11" s="35" t="s">
        <v>95</v>
      </c>
      <c r="B11" s="34" t="s">
        <v>96</v>
      </c>
      <c r="C11" s="34" t="s">
        <v>97</v>
      </c>
    </row>
    <row r="12" spans="1:3" x14ac:dyDescent="0.25">
      <c r="A12" s="35" t="s">
        <v>98</v>
      </c>
      <c r="B12" s="34" t="s">
        <v>99</v>
      </c>
      <c r="C12" s="34" t="s">
        <v>100</v>
      </c>
    </row>
    <row r="13" spans="1:3" x14ac:dyDescent="0.25">
      <c r="A13" s="35" t="s">
        <v>103</v>
      </c>
      <c r="B13" s="34" t="s">
        <v>104</v>
      </c>
      <c r="C13" s="34" t="s">
        <v>100</v>
      </c>
    </row>
    <row r="14" spans="1:3" x14ac:dyDescent="0.25">
      <c r="A14" s="35" t="s">
        <v>115</v>
      </c>
      <c r="B14" s="34" t="s">
        <v>116</v>
      </c>
      <c r="C14" s="34" t="s">
        <v>91</v>
      </c>
    </row>
    <row r="15" spans="1:3" x14ac:dyDescent="0.25">
      <c r="A15" s="35" t="s">
        <v>117</v>
      </c>
      <c r="B15" s="34" t="s">
        <v>118</v>
      </c>
      <c r="C15" s="34" t="s">
        <v>119</v>
      </c>
    </row>
    <row r="16" spans="1:3" x14ac:dyDescent="0.25">
      <c r="A16" s="35" t="s">
        <v>120</v>
      </c>
      <c r="B16" s="34" t="s">
        <v>121</v>
      </c>
      <c r="C16" s="34" t="s">
        <v>122</v>
      </c>
    </row>
    <row r="17" spans="1:3" x14ac:dyDescent="0.25">
      <c r="A17" s="35" t="s">
        <v>126</v>
      </c>
      <c r="B17" s="34" t="s">
        <v>127</v>
      </c>
      <c r="C17" s="34" t="s">
        <v>128</v>
      </c>
    </row>
    <row r="18" spans="1:3" x14ac:dyDescent="0.25">
      <c r="A18" s="35" t="s">
        <v>132</v>
      </c>
      <c r="B18" s="34" t="s">
        <v>133</v>
      </c>
      <c r="C18" s="34" t="s">
        <v>134</v>
      </c>
    </row>
    <row r="19" spans="1:3" x14ac:dyDescent="0.25">
      <c r="A19" s="35" t="s">
        <v>140</v>
      </c>
      <c r="B19" s="34" t="s">
        <v>141</v>
      </c>
      <c r="C19" s="34" t="s">
        <v>142</v>
      </c>
    </row>
    <row r="20" spans="1:3" x14ac:dyDescent="0.25">
      <c r="A20" s="35" t="s">
        <v>143</v>
      </c>
      <c r="B20" s="34" t="s">
        <v>144</v>
      </c>
      <c r="C20" s="34" t="s">
        <v>100</v>
      </c>
    </row>
    <row r="21" spans="1:3" x14ac:dyDescent="0.25">
      <c r="A21" s="35" t="s">
        <v>145</v>
      </c>
      <c r="B21" s="34" t="s">
        <v>146</v>
      </c>
      <c r="C21" s="34" t="s">
        <v>100</v>
      </c>
    </row>
    <row r="22" spans="1:3" x14ac:dyDescent="0.25">
      <c r="A22" s="35" t="s">
        <v>147</v>
      </c>
      <c r="B22" s="34" t="s">
        <v>148</v>
      </c>
      <c r="C22" s="34" t="s">
        <v>100</v>
      </c>
    </row>
    <row r="23" spans="1:3" x14ac:dyDescent="0.25">
      <c r="A23" s="35" t="s">
        <v>149</v>
      </c>
      <c r="B23" s="34" t="s">
        <v>150</v>
      </c>
      <c r="C23" s="34" t="s">
        <v>100</v>
      </c>
    </row>
    <row r="24" spans="1:3" x14ac:dyDescent="0.25">
      <c r="A24" s="35" t="s">
        <v>151</v>
      </c>
      <c r="B24" s="34" t="s">
        <v>152</v>
      </c>
      <c r="C24" s="34" t="s">
        <v>100</v>
      </c>
    </row>
    <row r="25" spans="1:3" x14ac:dyDescent="0.25">
      <c r="A25" s="35" t="s">
        <v>153</v>
      </c>
      <c r="B25" s="34" t="s">
        <v>154</v>
      </c>
      <c r="C25" s="34" t="s">
        <v>100</v>
      </c>
    </row>
    <row r="26" spans="1:3" x14ac:dyDescent="0.25">
      <c r="A26" s="35" t="s">
        <v>155</v>
      </c>
      <c r="B26" s="34" t="s">
        <v>156</v>
      </c>
      <c r="C26" s="34" t="s">
        <v>157</v>
      </c>
    </row>
    <row r="27" spans="1:3" x14ac:dyDescent="0.25">
      <c r="A27" s="35" t="s">
        <v>158</v>
      </c>
      <c r="B27" s="34" t="s">
        <v>159</v>
      </c>
      <c r="C27" s="34" t="s">
        <v>160</v>
      </c>
    </row>
    <row r="28" spans="1:3" x14ac:dyDescent="0.25">
      <c r="A28" s="35" t="s">
        <v>161</v>
      </c>
      <c r="B28" s="34" t="s">
        <v>162</v>
      </c>
      <c r="C28" s="34" t="s">
        <v>388</v>
      </c>
    </row>
    <row r="29" spans="1:3" x14ac:dyDescent="0.25">
      <c r="A29" s="35" t="s">
        <v>164</v>
      </c>
      <c r="B29" s="34" t="s">
        <v>165</v>
      </c>
      <c r="C29" s="34" t="s">
        <v>100</v>
      </c>
    </row>
    <row r="30" spans="1:3" x14ac:dyDescent="0.25">
      <c r="A30" s="35" t="s">
        <v>166</v>
      </c>
      <c r="B30" s="34" t="s">
        <v>167</v>
      </c>
      <c r="C30" s="34" t="s">
        <v>100</v>
      </c>
    </row>
    <row r="31" spans="1:3" x14ac:dyDescent="0.25">
      <c r="A31" s="35" t="s">
        <v>168</v>
      </c>
      <c r="B31" s="34" t="s">
        <v>169</v>
      </c>
      <c r="C31" s="34" t="s">
        <v>100</v>
      </c>
    </row>
    <row r="32" spans="1:3" x14ac:dyDescent="0.25">
      <c r="A32" s="35" t="s">
        <v>170</v>
      </c>
      <c r="B32" s="34" t="s">
        <v>171</v>
      </c>
      <c r="C32" s="34" t="s">
        <v>100</v>
      </c>
    </row>
    <row r="33" spans="1:3" x14ac:dyDescent="0.25">
      <c r="A33" s="35" t="s">
        <v>172</v>
      </c>
      <c r="B33" s="34" t="s">
        <v>173</v>
      </c>
      <c r="C33" s="34" t="s">
        <v>100</v>
      </c>
    </row>
    <row r="34" spans="1:3" x14ac:dyDescent="0.25">
      <c r="A34" s="35" t="s">
        <v>174</v>
      </c>
      <c r="B34" s="34" t="s">
        <v>175</v>
      </c>
      <c r="C34" s="34" t="s">
        <v>100</v>
      </c>
    </row>
    <row r="35" spans="1:3" x14ac:dyDescent="0.25">
      <c r="A35" s="18"/>
      <c r="B35" s="19"/>
      <c r="C35" s="19"/>
    </row>
    <row r="36" spans="1:3" x14ac:dyDescent="0.25">
      <c r="A36" s="18"/>
      <c r="B36" s="19"/>
      <c r="C36" s="19"/>
    </row>
    <row r="37" spans="1:3" x14ac:dyDescent="0.25">
      <c r="A37" s="18"/>
      <c r="B37" s="19"/>
      <c r="C37" s="19"/>
    </row>
    <row r="38" spans="1:3" x14ac:dyDescent="0.25">
      <c r="A38" s="18"/>
      <c r="B38" s="19"/>
      <c r="C38" s="19"/>
    </row>
    <row r="39" spans="1:3" x14ac:dyDescent="0.25">
      <c r="A39" s="18"/>
      <c r="B39" s="19"/>
      <c r="C39" s="19"/>
    </row>
    <row r="40" spans="1:3" x14ac:dyDescent="0.25">
      <c r="A40" s="18"/>
      <c r="B40" s="19"/>
      <c r="C40" s="19"/>
    </row>
    <row r="41" spans="1:3" x14ac:dyDescent="0.25">
      <c r="A41" s="18"/>
      <c r="B41" s="19"/>
      <c r="C41" s="19"/>
    </row>
    <row r="42" spans="1:3" x14ac:dyDescent="0.25">
      <c r="A42" s="18"/>
      <c r="B42" s="19"/>
      <c r="C42" s="19"/>
    </row>
    <row r="43" spans="1:3" x14ac:dyDescent="0.25">
      <c r="A43" s="20"/>
      <c r="B43" s="21"/>
      <c r="C43" s="21"/>
    </row>
    <row r="44" spans="1:3" x14ac:dyDescent="0.25">
      <c r="A44" s="16"/>
      <c r="B44" s="17"/>
      <c r="C44" s="17"/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ae1773b1-39ae-4dac-b4e5-79a9bafdcb23}" enabled="1" method="Privileged" siteId="{060430f9-1b51-44c6-b474-e4c29481970b}" removed="0"/>
  <clbl:label id="{d9088468-0951-4aef-9cc3-0a346e475ddc}" enabled="1" method="Privileged" siteId="{aca3c8d6-aa71-4e1a-a10e-03572fc58c0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2026-04-01T13:54:17Z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088468-0951-4aef-9cc3-0a346e475ddc_Enabled">
    <vt:lpwstr>true</vt:lpwstr>
  </property>
  <property fmtid="{D5CDD505-2E9C-101B-9397-08002B2CF9AE}" pid="3" name="MSIP_Label_d9088468-0951-4aef-9cc3-0a346e475ddc_SetDate">
    <vt:lpwstr>2025-10-07T14:33:36Z</vt:lpwstr>
  </property>
  <property fmtid="{D5CDD505-2E9C-101B-9397-08002B2CF9AE}" pid="4" name="MSIP_Label_d9088468-0951-4aef-9cc3-0a346e475ddc_Method">
    <vt:lpwstr>Privileged</vt:lpwstr>
  </property>
  <property fmtid="{D5CDD505-2E9C-101B-9397-08002B2CF9AE}" pid="5" name="MSIP_Label_d9088468-0951-4aef-9cc3-0a346e475ddc_Name">
    <vt:lpwstr>Public</vt:lpwstr>
  </property>
  <property fmtid="{D5CDD505-2E9C-101B-9397-08002B2CF9AE}" pid="6" name="MSIP_Label_d9088468-0951-4aef-9cc3-0a346e475ddc_SiteId">
    <vt:lpwstr>aca3c8d6-aa71-4e1a-a10e-03572fc58c0b</vt:lpwstr>
  </property>
  <property fmtid="{D5CDD505-2E9C-101B-9397-08002B2CF9AE}" pid="7" name="MSIP_Label_d9088468-0951-4aef-9cc3-0a346e475ddc_ActionId">
    <vt:lpwstr>78352588-c0c9-4573-ac9b-4880dcd98925</vt:lpwstr>
  </property>
  <property fmtid="{D5CDD505-2E9C-101B-9397-08002B2CF9AE}" pid="8" name="MSIP_Label_d9088468-0951-4aef-9cc3-0a346e475ddc_ContentBits">
    <vt:lpwstr>0</vt:lpwstr>
  </property>
  <property fmtid="{D5CDD505-2E9C-101B-9397-08002B2CF9AE}" pid="9" name="MSIP_Label_d9088468-0951-4aef-9cc3-0a346e475ddc_Tag">
    <vt:lpwstr>10, 0, 1, 1</vt:lpwstr>
  </property>
</Properties>
</file>