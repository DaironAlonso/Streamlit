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customProperty1.bin" ContentType="application/vnd.openxmlformats-officedocument.spreadsheetml.customProperty"/>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customProperty2.bin" ContentType="application/vnd.openxmlformats-officedocument.spreadsheetml.customProperty"/>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pivotTables/pivotTable5.xml" ContentType="application/vnd.openxmlformats-officedocument.spreadsheetml.pivotTable+xml"/>
  <Override PartName="/xl/drawings/drawing5.xml" ContentType="application/vnd.openxmlformats-officedocument.drawing+xml"/>
  <Override PartName="/xl/pivotTables/pivotTable6.xml" ContentType="application/vnd.openxmlformats-officedocument.spreadsheetml.pivotTable+xml"/>
  <Override PartName="/xl/drawings/drawing6.xml" ContentType="application/vnd.openxmlformats-officedocument.drawing+xml"/>
  <Override PartName="/xl/customProperty3.bin" ContentType="application/vnd.openxmlformats-officedocument.spreadsheetml.customProperty"/>
  <Override PartName="/xl/drawings/drawing7.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Dairon Alonso\Desktop\Jupyter\Sanofi\Codigo Final\Plantilla Excel\"/>
    </mc:Choice>
  </mc:AlternateContent>
  <xr:revisionPtr revIDLastSave="0" documentId="13_ncr:1_{30965AF3-DE56-4E9E-AA01-BAFBE1623162}" xr6:coauthVersionLast="47" xr6:coauthVersionMax="47" xr10:uidLastSave="{00000000-0000-0000-0000-000000000000}"/>
  <bookViews>
    <workbookView xWindow="22932" yWindow="6240" windowWidth="23256" windowHeight="12456" tabRatio="846" firstSheet="1" activeTab="1" xr2:uid="{00000000-000D-0000-FFFF-FFFF00000000}"/>
  </bookViews>
  <sheets>
    <sheet name="Base" sheetId="23" state="hidden" r:id="rId1"/>
    <sheet name="Informe ROC" sheetId="3" r:id="rId2"/>
    <sheet name="Sin Novedad" sheetId="9" r:id="rId3"/>
    <sheet name="Producto Agotado" sheetId="24" r:id="rId4"/>
    <sheet name="Producto Descontinuado" sheetId="25" r:id="rId5"/>
    <sheet name="Diferencia de Precio" sheetId="26" r:id="rId6"/>
    <sheet name="Otros Motivos" sheetId="27" r:id="rId7"/>
    <sheet name="Fechas Productos Agotados" sheetId="13" r:id="rId8"/>
  </sheets>
  <definedNames>
    <definedName name="_xlnm._FilterDatabase" localSheetId="0" hidden="1">Base!$A$2:$BS$98</definedName>
    <definedName name="_xlnm._FilterDatabase" localSheetId="7" hidden="1">'Fechas Productos Agotados'!$B$3:$D$4</definedName>
    <definedName name="Slicer_Sales_Doc._Creation">#N/A</definedName>
    <definedName name="Slicer_Sales_Document">#N/A</definedName>
    <definedName name="Slicer_Ship_To___City">#N/A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1" i="23" l="1"/>
  <c r="BS1" i="23"/>
  <c r="BR1" i="23"/>
  <c r="BQ1" i="23"/>
  <c r="BP1" i="23"/>
  <c r="H13" i="3"/>
</calcChain>
</file>

<file path=xl/sharedStrings.xml><?xml version="1.0" encoding="utf-8"?>
<sst xmlns="http://schemas.openxmlformats.org/spreadsheetml/2006/main" count="137" uniqueCount="94">
  <si>
    <t>Company Code</t>
  </si>
  <si>
    <t>Sold To</t>
  </si>
  <si>
    <t>Document Type</t>
  </si>
  <si>
    <t>Sales Document</t>
  </si>
  <si>
    <t>EAN Code</t>
  </si>
  <si>
    <t>Delivery Block</t>
  </si>
  <si>
    <t>Ship To</t>
  </si>
  <si>
    <t>Status</t>
  </si>
  <si>
    <t>PLU</t>
  </si>
  <si>
    <t>Masterpack</t>
  </si>
  <si>
    <t>Fullbox</t>
  </si>
  <si>
    <t>Valores</t>
  </si>
  <si>
    <t>Pedido</t>
  </si>
  <si>
    <t>Fecha Estimada de Disponibilidad</t>
  </si>
  <si>
    <t>GMID</t>
  </si>
  <si>
    <t>Backorder</t>
  </si>
  <si>
    <t>Sales Org</t>
  </si>
  <si>
    <t>Canal</t>
  </si>
  <si>
    <t>Sold To Name</t>
  </si>
  <si>
    <t>Ship To - City</t>
  </si>
  <si>
    <t>Ship To - Country</t>
  </si>
  <si>
    <t>Customer PO</t>
  </si>
  <si>
    <t>Delivery Doc.</t>
  </si>
  <si>
    <t>Invoice Doc.</t>
  </si>
  <si>
    <t>Item</t>
  </si>
  <si>
    <t>Description</t>
  </si>
  <si>
    <t>Local Description</t>
  </si>
  <si>
    <t>Family</t>
  </si>
  <si>
    <t>Sales Doc. Creation</t>
  </si>
  <si>
    <t>Delivery Creation</t>
  </si>
  <si>
    <t>Goods Issue</t>
  </si>
  <si>
    <t>PGI</t>
  </si>
  <si>
    <t>Invoice</t>
  </si>
  <si>
    <t>POD</t>
  </si>
  <si>
    <t>Req. Delivery</t>
  </si>
  <si>
    <t>Arrange date of arrival</t>
  </si>
  <si>
    <t>Rejection Code</t>
  </si>
  <si>
    <t>Rejection Reason</t>
  </si>
  <si>
    <t>Type</t>
  </si>
  <si>
    <t>Ordered</t>
  </si>
  <si>
    <t>Invoiced</t>
  </si>
  <si>
    <t>Invoiced - BO Retaken</t>
  </si>
  <si>
    <t>Invoiced in advance</t>
  </si>
  <si>
    <t>Delivered</t>
  </si>
  <si>
    <t>To be processed</t>
  </si>
  <si>
    <t>To be delivered</t>
  </si>
  <si>
    <t>Picking</t>
  </si>
  <si>
    <t>Rupture</t>
  </si>
  <si>
    <t>Reorder</t>
  </si>
  <si>
    <t>Stock Allocation</t>
  </si>
  <si>
    <t>Oversales</t>
  </si>
  <si>
    <t>Discontinued</t>
  </si>
  <si>
    <t>Others RR</t>
  </si>
  <si>
    <t>Credit Limit</t>
  </si>
  <si>
    <t>Returns</t>
  </si>
  <si>
    <t>Without RR</t>
  </si>
  <si>
    <t>FR No RR Assigned</t>
  </si>
  <si>
    <t>FR Ordered excluding</t>
  </si>
  <si>
    <t>FR Ordered wo excluding</t>
  </si>
  <si>
    <t>Invoice Sales</t>
  </si>
  <si>
    <t>KeyPLU</t>
  </si>
  <si>
    <t>Total</t>
  </si>
  <si>
    <t>Ordenado</t>
  </si>
  <si>
    <t>Informe ROC.</t>
  </si>
  <si>
    <t>Producto Agotado.</t>
  </si>
  <si>
    <t>Producto Descontinuado.</t>
  </si>
  <si>
    <t>Producto con Diferencias de Precio.</t>
  </si>
  <si>
    <t>Descripción</t>
  </si>
  <si>
    <t>Producto Facturado sin Novedad.</t>
  </si>
  <si>
    <t>Sin Despacho</t>
  </si>
  <si>
    <t>Sum of Sin Despacho</t>
  </si>
  <si>
    <t>Fechas de Productos Agotados.</t>
  </si>
  <si>
    <t>Fill Rate (Unidades)</t>
  </si>
  <si>
    <t>Column1</t>
  </si>
  <si>
    <t>Column2</t>
  </si>
  <si>
    <t>Column3</t>
  </si>
  <si>
    <t>Column4</t>
  </si>
  <si>
    <t>Column5</t>
  </si>
  <si>
    <t>Column6</t>
  </si>
  <si>
    <t>Column7</t>
  </si>
  <si>
    <t>Column8</t>
  </si>
  <si>
    <t>Column9</t>
  </si>
  <si>
    <t>Column10</t>
  </si>
  <si>
    <t>Days Sales order--&gt; Delivery</t>
  </si>
  <si>
    <t>Days Delivery --&gt; Good Issue</t>
  </si>
  <si>
    <t>Days Good issue --&gt; Invoice</t>
  </si>
  <si>
    <t>Sum of Invoiced</t>
  </si>
  <si>
    <t>Facturado</t>
  </si>
  <si>
    <t>No Despachado</t>
  </si>
  <si>
    <t>Producto no Facturado por Otros Motivos.</t>
  </si>
  <si>
    <t>Grand Total</t>
  </si>
  <si>
    <t>(Multiple Items)</t>
  </si>
  <si>
    <t>Orden de Compra</t>
  </si>
  <si>
    <t>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</si>
</sst>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0"/>
    <numFmt numFmtId="166" formatCode="[$-F800]dddd\,\ mmmm\ dd\,\ yyyy"/>
    <numFmt numFmtId="167" formatCode="m/d/yyyy\ h:mm:ss\ AM/PM"/>
  </numFmts>
  <fonts count="20">
    <font>
      <sz val="11"/>
      <color theme="1"/>
      <name val="Calibri"/>
      <family val="2"/>
    </font>
    <font>
      <sz val="8"/>
      <color rgb="FF1F497D"/>
      <name val="Verdana"/>
      <family val="2"/>
    </font>
    <font>
      <b/>
      <sz val="20"/>
      <color theme="0"/>
      <name val="Opella Sans SW Bold Highlighted"/>
    </font>
    <font>
      <sz val="11"/>
      <color theme="1"/>
      <name val="Opella Sans Light"/>
    </font>
    <font>
      <b/>
      <sz val="14"/>
      <color theme="0" tint="-4.9989318521683403E-2"/>
      <name val="Opella Sans Light"/>
    </font>
    <font>
      <b/>
      <sz val="11"/>
      <color theme="0" tint="-4.9989318521683403E-2"/>
      <name val="Opella Sans Light"/>
    </font>
    <font>
      <sz val="10"/>
      <color theme="1"/>
      <name val="Opella Sans Light"/>
    </font>
    <font>
      <b/>
      <sz val="10"/>
      <color theme="1"/>
      <name val="Opella Sans Light"/>
    </font>
    <font>
      <sz val="9"/>
      <color theme="1"/>
      <name val="Opella Sans"/>
    </font>
    <font>
      <sz val="11"/>
      <color theme="9" tint="0.79998168889431442"/>
      <name val="Opella Sans Light"/>
    </font>
    <font>
      <sz val="9"/>
      <name val="Opella Sans"/>
    </font>
    <font>
      <b/>
      <sz val="9"/>
      <name val="Opella Sans"/>
    </font>
    <font>
      <sz val="10"/>
      <name val="Opella Sans Light"/>
    </font>
    <font>
      <sz val="10"/>
      <color rgb="FFFF0000"/>
      <name val="Opella Sans Light"/>
    </font>
    <font>
      <sz val="11"/>
      <name val="Opella Sans Light"/>
    </font>
    <font>
      <b/>
      <sz val="28"/>
      <color theme="0"/>
      <name val="Opella Sans SW Bold Highlighted"/>
    </font>
    <font>
      <sz val="10"/>
      <color theme="9" tint="0.79998168889431442"/>
      <name val="Opella Sans Light"/>
    </font>
    <font>
      <sz val="11"/>
      <name val="Calibri"/>
      <family val="2"/>
    </font>
    <font>
      <sz val="11"/>
      <color theme="1"/>
      <name val="Calibri"/>
      <family val="2"/>
    </font>
    <font>
      <b/>
      <sz val="16"/>
      <color theme="0" tint="-4.9989318521683403E-2"/>
      <name val="Opella Sans Light"/>
    </font>
  </fonts>
  <fills count="7">
    <fill>
      <patternFill patternType="none"/>
    </fill>
    <fill>
      <patternFill patternType="gray125"/>
    </fill>
    <fill>
      <patternFill patternType="solid">
        <fgColor rgb="FFDBE5F1"/>
        <bgColor rgb="FFFFFFFF"/>
      </patternFill>
    </fill>
    <fill>
      <patternFill patternType="solid">
        <fgColor rgb="FFFFFF00"/>
        <bgColor indexed="64"/>
      </patternFill>
    </fill>
    <fill>
      <patternFill patternType="solid">
        <fgColor theme="9" tint="0.79998168889431442"/>
        <bgColor indexed="64"/>
      </patternFill>
    </fill>
    <fill>
      <patternFill patternType="solid">
        <fgColor theme="9"/>
        <bgColor indexed="64"/>
      </patternFill>
    </fill>
    <fill>
      <patternFill patternType="solid">
        <fgColor rgb="FF203315"/>
        <bgColor indexed="64"/>
      </patternFill>
    </fill>
  </fills>
  <borders count="2">
    <border>
      <left/>
      <right/>
      <top/>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s>
  <cellStyleXfs count="4">
    <xf numFmtId="0" fontId="0" fillId="0" borderId="0"/>
    <xf numFmtId="164" fontId="1" fillId="2" borderId="1" applyNumberFormat="0" applyAlignment="0" applyProtection="0">
      <alignment horizontal="left" vertical="center" indent="1"/>
    </xf>
    <xf numFmtId="0" fontId="17" fillId="0" borderId="0"/>
    <xf numFmtId="9" fontId="18" fillId="0" borderId="0" applyFont="0" applyFill="0" applyBorder="0" applyAlignment="0" applyProtection="0"/>
  </cellStyleXfs>
  <cellXfs count="49">
    <xf numFmtId="0" fontId="0" fillId="0" borderId="0" xfId="0"/>
    <xf numFmtId="0" fontId="0" fillId="0" borderId="0" xfId="0" applyAlignment="1">
      <alignment horizontal="center"/>
    </xf>
    <xf numFmtId="0" fontId="3" fillId="0" borderId="0" xfId="0" applyFont="1"/>
    <xf numFmtId="0" fontId="3" fillId="0" borderId="0" xfId="0" applyFont="1" applyAlignment="1">
      <alignment horizontal="center"/>
    </xf>
    <xf numFmtId="3" fontId="3" fillId="0" borderId="0" xfId="0" applyNumberFormat="1" applyFont="1"/>
    <xf numFmtId="0" fontId="6" fillId="0" borderId="0" xfId="0" applyFont="1"/>
    <xf numFmtId="0" fontId="6" fillId="0" borderId="0" xfId="0" applyFont="1" applyAlignment="1">
      <alignment horizontal="center"/>
    </xf>
    <xf numFmtId="0" fontId="5" fillId="0" borderId="0" xfId="0" applyFont="1" applyAlignment="1">
      <alignment vertical="center"/>
    </xf>
    <xf numFmtId="0" fontId="10" fillId="0" borderId="0" xfId="0" applyFont="1" applyAlignment="1">
      <alignment horizontal="center" vertical="center" wrapText="1"/>
    </xf>
    <xf numFmtId="0" fontId="11" fillId="0" borderId="0" xfId="0" applyFont="1" applyAlignment="1">
      <alignment horizontal="center" vertical="center" wrapText="1"/>
    </xf>
    <xf numFmtId="0" fontId="8" fillId="0" borderId="0" xfId="0" applyFont="1"/>
    <xf numFmtId="0" fontId="8" fillId="0" borderId="0" xfId="0" applyFont="1" applyAlignment="1">
      <alignment horizontal="center"/>
    </xf>
    <xf numFmtId="0" fontId="6" fillId="0" borderId="0" xfId="0" pivotButton="1" applyFont="1" applyAlignment="1">
      <alignment horizontal="left"/>
    </xf>
    <xf numFmtId="0" fontId="6" fillId="0" borderId="0" xfId="0" applyFont="1" applyAlignment="1">
      <alignment horizontal="left"/>
    </xf>
    <xf numFmtId="1" fontId="6" fillId="0" borderId="0" xfId="0" applyNumberFormat="1" applyFont="1" applyAlignment="1">
      <alignment horizontal="center" vertical="center"/>
    </xf>
    <xf numFmtId="0" fontId="7" fillId="0" borderId="0" xfId="0" applyFont="1" applyAlignment="1">
      <alignment horizontal="center"/>
    </xf>
    <xf numFmtId="0" fontId="7" fillId="0" borderId="0" xfId="0" pivotButton="1" applyFont="1" applyAlignment="1">
      <alignment horizontal="left"/>
    </xf>
    <xf numFmtId="3" fontId="6" fillId="0" borderId="0" xfId="0" applyNumberFormat="1" applyFont="1" applyAlignment="1">
      <alignment horizontal="center"/>
    </xf>
    <xf numFmtId="1" fontId="3" fillId="0" borderId="0" xfId="0" applyNumberFormat="1" applyFont="1"/>
    <xf numFmtId="14" fontId="3" fillId="0" borderId="0" xfId="0" applyNumberFormat="1" applyFont="1"/>
    <xf numFmtId="0" fontId="3" fillId="4" borderId="0" xfId="0" applyFont="1" applyFill="1"/>
    <xf numFmtId="3" fontId="3" fillId="4" borderId="0" xfId="0" applyNumberFormat="1" applyFont="1" applyFill="1"/>
    <xf numFmtId="165" fontId="3" fillId="0" borderId="0" xfId="0" applyNumberFormat="1" applyFont="1"/>
    <xf numFmtId="0" fontId="12" fillId="0" borderId="0" xfId="0" applyFont="1" applyAlignment="1">
      <alignment vertical="center"/>
    </xf>
    <xf numFmtId="0" fontId="12" fillId="5" borderId="0" xfId="0" applyFont="1" applyFill="1" applyAlignment="1">
      <alignment vertical="center"/>
    </xf>
    <xf numFmtId="1" fontId="12" fillId="5" borderId="0" xfId="0" applyNumberFormat="1" applyFont="1" applyFill="1" applyAlignment="1">
      <alignment vertical="center"/>
    </xf>
    <xf numFmtId="14" fontId="12" fillId="5" borderId="0" xfId="0" applyNumberFormat="1" applyFont="1" applyFill="1" applyAlignment="1">
      <alignment vertical="center"/>
    </xf>
    <xf numFmtId="14" fontId="12" fillId="0" borderId="0" xfId="0" applyNumberFormat="1" applyFont="1" applyAlignment="1">
      <alignment vertical="center"/>
    </xf>
    <xf numFmtId="0" fontId="13" fillId="3" borderId="0" xfId="0" applyFont="1" applyFill="1" applyAlignment="1">
      <alignment vertical="center"/>
    </xf>
    <xf numFmtId="0" fontId="14" fillId="0" borderId="0" xfId="0" applyFont="1"/>
    <xf numFmtId="165" fontId="14" fillId="0" borderId="0" xfId="0" applyNumberFormat="1" applyFont="1"/>
    <xf numFmtId="1" fontId="3" fillId="0" borderId="0" xfId="0" applyNumberFormat="1" applyFont="1" applyAlignment="1">
      <alignment vertical="top"/>
    </xf>
    <xf numFmtId="0" fontId="2" fillId="0" borderId="0" xfId="0" applyFont="1" applyAlignment="1">
      <alignment vertical="center"/>
    </xf>
    <xf numFmtId="1" fontId="13" fillId="3" borderId="0" xfId="0" applyNumberFormat="1" applyFont="1" applyFill="1" applyAlignment="1">
      <alignment vertical="center"/>
    </xf>
    <xf numFmtId="1" fontId="3" fillId="4" borderId="0" xfId="0" applyNumberFormat="1" applyFont="1" applyFill="1"/>
    <xf numFmtId="1" fontId="12" fillId="0" borderId="0" xfId="0" applyNumberFormat="1" applyFont="1" applyAlignment="1">
      <alignment vertical="center"/>
    </xf>
    <xf numFmtId="0" fontId="16" fillId="0" borderId="0" xfId="0" pivotButton="1" applyFont="1" applyAlignment="1">
      <alignment horizontal="left"/>
    </xf>
    <xf numFmtId="0" fontId="16" fillId="0" borderId="0" xfId="0" applyFont="1" applyAlignment="1">
      <alignment horizontal="left"/>
    </xf>
    <xf numFmtId="1" fontId="0" fillId="0" borderId="0" xfId="0" applyNumberFormat="1"/>
    <xf numFmtId="166" fontId="3" fillId="0" borderId="0" xfId="0" applyNumberFormat="1" applyFont="1"/>
    <xf numFmtId="167" fontId="3" fillId="0" borderId="0" xfId="0" applyNumberFormat="1" applyFont="1"/>
    <xf numFmtId="1" fontId="6" fillId="0" borderId="0" xfId="0" applyNumberFormat="1" applyFont="1"/>
    <xf numFmtId="0" fontId="9" fillId="0" borderId="0" xfId="0" pivotButton="1" applyFont="1" applyAlignment="1">
      <alignment horizontal="center"/>
    </xf>
    <xf numFmtId="9" fontId="19" fillId="6" borderId="0" xfId="3" applyFont="1" applyFill="1" applyBorder="1" applyAlignment="1">
      <alignment horizontal="center" vertical="center"/>
    </xf>
    <xf numFmtId="22" fontId="3" fillId="0" borderId="0" xfId="0" applyNumberFormat="1" applyFont="1"/>
    <xf numFmtId="1" fontId="7" fillId="0" borderId="0" xfId="0" pivotButton="1" applyNumberFormat="1" applyFont="1" applyAlignment="1">
      <alignment horizontal="left"/>
    </xf>
    <xf numFmtId="0" fontId="4" fillId="6" borderId="0" xfId="0" applyFont="1" applyFill="1" applyAlignment="1">
      <alignment horizontal="center" vertical="center"/>
    </xf>
    <xf numFmtId="0" fontId="15" fillId="6" borderId="0" xfId="0" applyFont="1" applyFill="1" applyAlignment="1">
      <alignment horizontal="left" vertical="center"/>
    </xf>
    <xf numFmtId="0" fontId="2" fillId="6" borderId="0" xfId="0" applyFont="1" applyFill="1" applyAlignment="1">
      <alignment horizontal="right" vertical="center"/>
    </xf>
  </cellXfs>
  <cellStyles count="4">
    <cellStyle name="Normal" xfId="0" builtinId="0"/>
    <cellStyle name="Normal 2" xfId="2" xr:uid="{00000000-0005-0000-0000-000001000000}"/>
    <cellStyle name="Porcentaje" xfId="3" builtinId="5"/>
    <cellStyle name="SAPMemberCell" xfId="1" xr:uid="{00000000-0005-0000-0000-000003000000}"/>
  </cellStyles>
  <dxfs count="357">
    <dxf>
      <font>
        <b val="0"/>
        <i val="0"/>
        <strike val="0"/>
        <condense val="0"/>
        <extend val="0"/>
        <outline val="0"/>
        <shadow val="0"/>
        <u val="none"/>
        <vertAlign val="baseline"/>
        <sz val="9"/>
        <color auto="1"/>
        <name val="Opella Sans"/>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Opella Sans"/>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Opella Sans"/>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Opella Sans"/>
        <scheme val="none"/>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Opella Sans"/>
        <scheme val="none"/>
      </font>
      <fill>
        <patternFill patternType="none">
          <fgColor indexed="64"/>
          <bgColor auto="1"/>
        </patternFill>
      </fill>
      <alignment horizontal="center" vertical="center" textRotation="0" wrapText="1" indent="0" justifyLastLine="0" shrinkToFit="0" readingOrder="0"/>
      <border diagonalUp="0" diagonalDown="0" outline="0">
        <left style="dashed">
          <color theme="4" tint="0.39997558519241921"/>
        </left>
        <right style="dashed">
          <color theme="4" tint="0.39997558519241921"/>
        </right>
        <top/>
        <bottom/>
      </border>
    </dxf>
    <dxf>
      <font>
        <color theme="9" tint="0.79998168889431442"/>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b/>
      </font>
    </dxf>
    <dxf>
      <font>
        <b/>
      </font>
    </dxf>
    <dxf>
      <font>
        <b/>
      </font>
    </dxf>
    <dxf>
      <font>
        <b/>
      </font>
    </dxf>
    <dxf>
      <font>
        <b/>
      </font>
    </dxf>
    <dxf>
      <font>
        <b/>
      </font>
    </dxf>
    <dxf>
      <font>
        <b/>
      </font>
    </dxf>
    <dxf>
      <alignment horizontal="center"/>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theme="0" tint="-0.499984740745262"/>
      </font>
    </dxf>
    <dxf>
      <alignment horizontal="center"/>
    </dxf>
    <dxf>
      <numFmt numFmtId="3" formatCode="#,##0"/>
    </dxf>
    <dxf>
      <font>
        <color theme="9" tint="0.79998168889431442"/>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b/>
      </font>
    </dxf>
    <dxf>
      <font>
        <b/>
      </font>
    </dxf>
    <dxf>
      <font>
        <b/>
      </font>
    </dxf>
    <dxf>
      <font>
        <b/>
      </font>
    </dxf>
    <dxf>
      <font>
        <b/>
      </font>
    </dxf>
    <dxf>
      <font>
        <b/>
      </font>
    </dxf>
    <dxf>
      <font>
        <b/>
      </font>
    </dxf>
    <dxf>
      <alignment horizontal="center"/>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theme="0" tint="-0.499984740745262"/>
      </font>
    </dxf>
    <dxf>
      <alignment horizontal="center"/>
    </dxf>
    <dxf>
      <numFmt numFmtId="3" formatCode="#,##0"/>
    </dxf>
    <dxf>
      <font>
        <color theme="9" tint="0.79998168889431442"/>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b/>
      </font>
    </dxf>
    <dxf>
      <font>
        <b/>
      </font>
    </dxf>
    <dxf>
      <font>
        <b/>
      </font>
    </dxf>
    <dxf>
      <font>
        <b/>
      </font>
    </dxf>
    <dxf>
      <font>
        <b/>
      </font>
    </dxf>
    <dxf>
      <font>
        <b/>
      </font>
    </dxf>
    <dxf>
      <font>
        <b/>
      </font>
    </dxf>
    <dxf>
      <alignment horizontal="center"/>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theme="0" tint="-0.499984740745262"/>
      </font>
    </dxf>
    <dxf>
      <alignment horizontal="center"/>
    </dxf>
    <dxf>
      <numFmt numFmtId="3" formatCode="#,##0"/>
    </dxf>
    <dxf>
      <font>
        <color theme="9" tint="0.79998168889431442"/>
      </font>
    </dxf>
    <dxf>
      <numFmt numFmtId="1" formatCode="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b/>
      </font>
    </dxf>
    <dxf>
      <font>
        <b/>
      </font>
    </dxf>
    <dxf>
      <font>
        <b/>
      </font>
    </dxf>
    <dxf>
      <font>
        <b/>
      </font>
    </dxf>
    <dxf>
      <font>
        <b/>
      </font>
    </dxf>
    <dxf>
      <font>
        <b/>
      </font>
    </dxf>
    <dxf>
      <font>
        <b/>
      </font>
    </dxf>
    <dxf>
      <alignment horizontal="center"/>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theme="0" tint="-0.499984740745262"/>
      </font>
    </dxf>
    <dxf>
      <alignment horizontal="center"/>
    </dxf>
    <dxf>
      <numFmt numFmtId="3" formatCode="#,##0"/>
    </dxf>
    <dxf>
      <font>
        <color theme="9" tint="0.79998168889431442"/>
      </font>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b/>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
      <font>
        <b/>
      </font>
    </dxf>
    <dxf>
      <font>
        <b/>
      </font>
    </dxf>
    <dxf>
      <font>
        <b/>
      </font>
    </dxf>
    <dxf>
      <font>
        <b/>
      </font>
    </dxf>
    <dxf>
      <font>
        <b/>
      </font>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theme="0" tint="-0.499984740745262"/>
      </font>
    </dxf>
    <dxf>
      <alignment horizontal="center"/>
    </dxf>
    <dxf>
      <numFmt numFmtId="3" formatCode="#,##0"/>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font>
        <sz val="11"/>
      </font>
    </dxf>
    <dxf>
      <font>
        <color theme="9" tint="0.79998168889431442"/>
      </font>
    </dxf>
    <dxf>
      <font>
        <b/>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alignment horizontal="center"/>
    </dxf>
    <dxf>
      <font>
        <strike val="0"/>
        <outline val="0"/>
        <shadow val="0"/>
        <u val="none"/>
        <vertAlign val="baseline"/>
        <name val="Opella Sans Light"/>
        <scheme val="none"/>
      </font>
      <numFmt numFmtId="1" formatCode="0"/>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0" formatCode="General"/>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0" formatCode="General"/>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3" formatCode="#,##0"/>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name val="Opella Sans Light"/>
        <scheme val="none"/>
      </font>
      <numFmt numFmtId="0" formatCode="General"/>
      <fill>
        <patternFill patternType="none">
          <fgColor indexed="64"/>
          <bgColor auto="1"/>
        </patternFill>
      </fill>
      <alignment horizontal="general"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name val="Opella Sans Light"/>
        <scheme val="none"/>
      </font>
      <numFmt numFmtId="1" formatCode="0"/>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 formatCode="0"/>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 formatCode="0"/>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 formatCode="0"/>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b val="0"/>
        <i val="0"/>
        <strike val="0"/>
        <condense val="0"/>
        <extend val="0"/>
        <outline val="0"/>
        <shadow val="0"/>
        <u val="none"/>
        <vertAlign val="baseline"/>
        <sz val="10"/>
        <color auto="1"/>
        <name val="Opella Sans Light"/>
        <scheme val="none"/>
      </font>
      <fill>
        <patternFill patternType="none">
          <fgColor indexed="64"/>
          <bgColor auto="1"/>
        </patternFill>
      </fill>
      <alignment horizontal="general" vertical="center" textRotation="0" wrapText="0" indent="0" justifyLastLine="0" shrinkToFit="0" readingOrder="0"/>
    </dxf>
    <dxf>
      <fill>
        <patternFill patternType="solid">
          <fgColor rgb="FFE1CCF0"/>
          <bgColor rgb="FFE1CCF0"/>
        </patternFill>
      </fill>
      <border>
        <bottom style="thin">
          <color rgb="FF7030A0"/>
        </bottom>
      </border>
    </dxf>
    <dxf>
      <font>
        <color auto="1"/>
      </font>
      <fill>
        <patternFill patternType="solid">
          <fgColor rgb="FFE1CCF0"/>
          <bgColor rgb="FFE1CCF0"/>
        </patternFill>
      </fill>
      <border>
        <bottom style="thin">
          <color rgb="FF7030A0"/>
        </bottom>
      </border>
    </dxf>
    <dxf>
      <font>
        <b/>
        <color theme="1"/>
      </font>
    </dxf>
    <dxf>
      <font>
        <b/>
        <color theme="1"/>
      </font>
      <border>
        <bottom style="thin">
          <color rgb="FF7030A0"/>
        </bottom>
      </border>
    </dxf>
    <dxf>
      <font>
        <b/>
        <color theme="1"/>
      </font>
    </dxf>
    <dxf>
      <font>
        <b/>
        <color theme="1"/>
      </font>
      <border>
        <top style="thin">
          <color rgb="FF7030A0"/>
        </top>
        <bottom style="thin">
          <color rgb="FF7030A0"/>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color theme="0"/>
      </font>
      <fill>
        <patternFill patternType="solid">
          <fgColor rgb="FF7030A0"/>
          <bgColor rgb="FF7030A0"/>
        </patternFill>
      </fill>
      <border>
        <top style="thin">
          <color rgb="FF7030A0"/>
        </top>
      </border>
    </dxf>
    <dxf>
      <font>
        <b/>
        <color theme="1"/>
      </font>
      <fill>
        <patternFill patternType="solid">
          <fgColor rgb="FFE1CCF0"/>
          <bgColor rgb="FFE1CCF0"/>
        </patternFill>
      </fill>
      <border>
        <bottom style="thin">
          <color rgb="FF7030A0"/>
        </bottom>
      </border>
    </dxf>
    <dxf>
      <font>
        <b/>
        <i val="0"/>
        <name val="Opella Sans"/>
        <scheme val="none"/>
      </font>
    </dxf>
    <dxf>
      <font>
        <b val="0"/>
        <i val="0"/>
        <sz val="9"/>
        <name val="Opella Sans"/>
        <scheme val="none"/>
      </font>
      <fill>
        <patternFill>
          <bgColor theme="9" tint="0.79998168889431442"/>
        </patternFill>
      </fill>
      <border diagonalUp="0" diagonalDown="0">
        <left style="thin">
          <color theme="9" tint="-0.499984740745262"/>
        </left>
        <right style="thin">
          <color theme="9" tint="-0.499984740745262"/>
        </right>
        <top style="thin">
          <color theme="9" tint="-0.499984740745262"/>
        </top>
        <bottom style="thin">
          <color theme="9" tint="-0.499984740745262"/>
        </bottom>
        <vertical/>
        <horizontal/>
      </border>
    </dxf>
  </dxfs>
  <tableStyles count="2" defaultTableStyle="TableStyleMedium2" defaultPivotStyle="PivotStyleLight16">
    <tableStyle name="Opella" pivot="0" table="0" count="7" xr9:uid="{00000000-0011-0000-FFFF-FFFF00000000}">
      <tableStyleElement type="wholeTable" dxfId="356"/>
      <tableStyleElement type="headerRow" dxfId="355"/>
    </tableStyle>
    <tableStyle name="PivotStyleLight16 2" table="0" count="11" xr9:uid="{00000000-0011-0000-FFFF-FFFF01000000}">
      <tableStyleElement type="headerRow" dxfId="354"/>
      <tableStyleElement type="totalRow" dxfId="353"/>
      <tableStyleElement type="firstRowStripe" dxfId="352"/>
      <tableStyleElement type="firstColumnStripe" dxfId="351"/>
      <tableStyleElement type="firstSubtotalColumn" dxfId="350"/>
      <tableStyleElement type="firstSubtotalRow" dxfId="349"/>
      <tableStyleElement type="secondSubtotalRow" dxfId="348"/>
      <tableStyleElement type="firstRowSubheading" dxfId="347"/>
      <tableStyleElement type="secondRowSubheading" dxfId="346"/>
      <tableStyleElement type="pageFieldLabels" dxfId="345"/>
      <tableStyleElement type="pageFieldValues" dxfId="344"/>
    </tableStyle>
  </tableStyles>
  <colors>
    <mruColors>
      <color rgb="FF203315"/>
      <color rgb="FF263C18"/>
      <color rgb="FF334F21"/>
      <color rgb="FF243917"/>
      <color rgb="FF1C2C12"/>
      <color rgb="FFD3B5E9"/>
      <color rgb="FFFDFDFD"/>
      <color rgb="FF8D43C5"/>
      <color rgb="FFA469D1"/>
      <color rgb="FFA66CD2"/>
    </mruColors>
  </colors>
  <extLst>
    <ext xmlns:x14="http://schemas.microsoft.com/office/spreadsheetml/2009/9/main" uri="{46F421CA-312F-682f-3DD2-61675219B42D}">
      <x14:dxfs count="5">
        <dxf>
          <fill>
            <patternFill>
              <bgColor theme="7" tint="0.39994506668294322"/>
            </patternFill>
          </fill>
        </dxf>
        <dxf>
          <font>
            <color theme="9" tint="0.79998168889431442"/>
          </font>
          <fill>
            <patternFill>
              <bgColor theme="9" tint="0.79998168889431442"/>
            </patternFill>
          </fill>
          <border diagonalUp="0" diagonalDown="0">
            <left/>
            <right/>
            <top/>
            <bottom/>
            <vertical/>
            <horizontal/>
          </border>
        </dxf>
        <dxf>
          <font>
            <color theme="0"/>
          </font>
          <fill>
            <patternFill>
              <bgColor rgb="FF263C18"/>
            </patternFill>
          </fill>
        </dxf>
        <dxf>
          <border diagonalUp="0" diagonalDown="0">
            <left/>
            <right/>
            <top/>
            <bottom/>
            <vertical/>
            <horizontal/>
          </border>
        </dxf>
        <dxf>
          <fill>
            <patternFill>
              <bgColor theme="9" tint="0.79998168889431442"/>
            </patternFill>
          </fill>
        </dxf>
      </x14:dxfs>
    </ext>
    <ext xmlns:x14="http://schemas.microsoft.com/office/spreadsheetml/2009/9/main" uri="{EB79DEF2-80B8-43e5-95BD-54CBDDF9020C}">
      <x14:slicerStyles defaultSlicerStyle="SlicerStyleLight1">
        <x14:slicerStyle name="Opella">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hyperlink" Target="#'Otros Motivos'!A1"/><Relationship Id="rId3" Type="http://schemas.openxmlformats.org/officeDocument/2006/relationships/hyperlink" Target="#'Diferencia de Precio'!A1"/><Relationship Id="rId7" Type="http://schemas.openxmlformats.org/officeDocument/2006/relationships/hyperlink" Target="#'Fechas Productos Agotados'!A1"/><Relationship Id="rId2" Type="http://schemas.openxmlformats.org/officeDocument/2006/relationships/hyperlink" Target="#'Producto Descontinuado'!A1"/><Relationship Id="rId1" Type="http://schemas.openxmlformats.org/officeDocument/2006/relationships/hyperlink" Target="#'Producto Agotado'!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Sin Novedad'!A1"/></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forme ROC'!A1"/></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forme ROC'!A1"/></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forme ROC'!A1"/></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forme ROC'!A1"/></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forme ROC'!A1"/></Relationships>
</file>

<file path=xl/drawings/_rels/drawing7.xml.rels><?xml version="1.0" encoding="UTF-8" standalone="yes"?>
<Relationships xmlns="http://schemas.openxmlformats.org/package/2006/relationships"><Relationship Id="rId3" Type="http://schemas.openxmlformats.org/officeDocument/2006/relationships/hyperlink" Target="#'Informe ROC'!A1"/><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2</xdr:col>
      <xdr:colOff>1153628</xdr:colOff>
      <xdr:row>1</xdr:row>
      <xdr:rowOff>114505</xdr:rowOff>
    </xdr:from>
    <xdr:to>
      <xdr:col>5</xdr:col>
      <xdr:colOff>30628</xdr:colOff>
      <xdr:row>4</xdr:row>
      <xdr:rowOff>182278</xdr:rowOff>
    </xdr:to>
    <xdr:sp macro="" textlink="">
      <xdr:nvSpPr>
        <xdr:cNvPr id="13" name="Rectángulo redondeado 132">
          <a:hlinkClick xmlns:r="http://schemas.openxmlformats.org/officeDocument/2006/relationships" r:id="rId1"/>
          <a:extLst>
            <a:ext uri="{FF2B5EF4-FFF2-40B4-BE49-F238E27FC236}">
              <a16:creationId xmlns:a16="http://schemas.microsoft.com/office/drawing/2014/main" id="{7048E84D-4652-4F56-A45C-FD5C8606EFCB}"/>
            </a:ext>
          </a:extLst>
        </xdr:cNvPr>
        <xdr:cNvSpPr/>
      </xdr:nvSpPr>
      <xdr:spPr>
        <a:xfrm>
          <a:off x="2383941" y="971755"/>
          <a:ext cx="2052000" cy="639273"/>
        </a:xfrm>
        <a:prstGeom prst="roundRect">
          <a:avLst>
            <a:gd name="adj" fmla="val 29902"/>
          </a:avLst>
        </a:prstGeom>
        <a:solidFill>
          <a:srgbClr val="20331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atin typeface="Opella Sans" pitchFamily="2" charset="0"/>
              <a:cs typeface="Opella Sans" pitchFamily="2" charset="0"/>
            </a:rPr>
            <a:t>Ir a:</a:t>
          </a:r>
        </a:p>
        <a:p>
          <a:pPr algn="l"/>
          <a:r>
            <a:rPr lang="es-CO" sz="1100" b="1">
              <a:solidFill>
                <a:schemeClr val="lt1"/>
              </a:solidFill>
              <a:effectLst/>
              <a:latin typeface="Opella Sans" pitchFamily="2" charset="0"/>
              <a:ea typeface="+mn-ea"/>
              <a:cs typeface="Opella Sans" pitchFamily="2" charset="0"/>
            </a:rPr>
            <a:t>Producto Agotado.</a:t>
          </a:r>
          <a:endParaRPr lang="es-CO" sz="1100" b="1">
            <a:latin typeface="Opella Sans" pitchFamily="2" charset="0"/>
            <a:cs typeface="Opella Sans" pitchFamily="2" charset="0"/>
          </a:endParaRPr>
        </a:p>
      </xdr:txBody>
    </xdr:sp>
    <xdr:clientData/>
  </xdr:twoCellAnchor>
  <xdr:twoCellAnchor editAs="absolute">
    <xdr:from>
      <xdr:col>5</xdr:col>
      <xdr:colOff>211233</xdr:colOff>
      <xdr:row>1</xdr:row>
      <xdr:rowOff>106567</xdr:rowOff>
    </xdr:from>
    <xdr:to>
      <xdr:col>6</xdr:col>
      <xdr:colOff>1088483</xdr:colOff>
      <xdr:row>4</xdr:row>
      <xdr:rowOff>174340</xdr:rowOff>
    </xdr:to>
    <xdr:grpSp>
      <xdr:nvGrpSpPr>
        <xdr:cNvPr id="53" name="Grupo 52">
          <a:extLst>
            <a:ext uri="{FF2B5EF4-FFF2-40B4-BE49-F238E27FC236}">
              <a16:creationId xmlns:a16="http://schemas.microsoft.com/office/drawing/2014/main" id="{1243C64E-A844-4679-9299-14184E3BCF46}"/>
            </a:ext>
          </a:extLst>
        </xdr:cNvPr>
        <xdr:cNvGrpSpPr>
          <a:grpSpLocks noChangeAspect="1"/>
        </xdr:cNvGrpSpPr>
      </xdr:nvGrpSpPr>
      <xdr:grpSpPr>
        <a:xfrm>
          <a:off x="4415568" y="965722"/>
          <a:ext cx="2001200" cy="612603"/>
          <a:chOff x="4510185" y="463756"/>
          <a:chExt cx="2098134" cy="671023"/>
        </a:xfrm>
        <a:solidFill>
          <a:schemeClr val="accent6">
            <a:lumMod val="50000"/>
          </a:schemeClr>
        </a:solidFill>
      </xdr:grpSpPr>
      <xdr:sp macro="" textlink="">
        <xdr:nvSpPr>
          <xdr:cNvPr id="9" name="Rectángulo redondeado 132">
            <a:hlinkClick xmlns:r="http://schemas.openxmlformats.org/officeDocument/2006/relationships" r:id="rId2"/>
            <a:extLst>
              <a:ext uri="{FF2B5EF4-FFF2-40B4-BE49-F238E27FC236}">
                <a16:creationId xmlns:a16="http://schemas.microsoft.com/office/drawing/2014/main" id="{F4911047-E48A-46F1-B8CB-8816547E8E67}"/>
              </a:ext>
            </a:extLst>
          </xdr:cNvPr>
          <xdr:cNvSpPr/>
        </xdr:nvSpPr>
        <xdr:spPr>
          <a:xfrm>
            <a:off x="4510185" y="463756"/>
            <a:ext cx="2098134" cy="671023"/>
          </a:xfrm>
          <a:prstGeom prst="roundRect">
            <a:avLst>
              <a:gd name="adj" fmla="val 29902"/>
            </a:avLst>
          </a:prstGeom>
          <a:solidFill>
            <a:srgbClr val="20331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atin typeface="Opella Sans" pitchFamily="2" charset="0"/>
                <a:cs typeface="Opella Sans" pitchFamily="2" charset="0"/>
              </a:rPr>
              <a:t>Ir a:</a:t>
            </a:r>
          </a:p>
          <a:p>
            <a:pPr algn="l"/>
            <a:r>
              <a:rPr lang="es-CO" sz="1100" b="1">
                <a:solidFill>
                  <a:schemeClr val="lt1"/>
                </a:solidFill>
                <a:effectLst/>
                <a:latin typeface="Opella Sans" pitchFamily="2" charset="0"/>
                <a:ea typeface="+mn-ea"/>
                <a:cs typeface="Opella Sans" pitchFamily="2" charset="0"/>
              </a:rPr>
              <a:t>Producto Descontinuado.</a:t>
            </a:r>
            <a:endParaRPr lang="es-CO" sz="1100" b="1">
              <a:latin typeface="Opella Sans" pitchFamily="2" charset="0"/>
              <a:cs typeface="Opella Sans" pitchFamily="2" charset="0"/>
            </a:endParaRPr>
          </a:p>
        </xdr:txBody>
      </xdr:sp>
      <xdr:grpSp>
        <xdr:nvGrpSpPr>
          <xdr:cNvPr id="22" name="Google Shape;462;p21">
            <a:extLst>
              <a:ext uri="{FF2B5EF4-FFF2-40B4-BE49-F238E27FC236}">
                <a16:creationId xmlns:a16="http://schemas.microsoft.com/office/drawing/2014/main" id="{AAF22D50-4995-4E44-B2C2-27CBFEE557B2}"/>
              </a:ext>
            </a:extLst>
          </xdr:cNvPr>
          <xdr:cNvGrpSpPr/>
        </xdr:nvGrpSpPr>
        <xdr:grpSpPr>
          <a:xfrm>
            <a:off x="6304917" y="713055"/>
            <a:ext cx="206408" cy="191275"/>
            <a:chOff x="4665913" y="2318300"/>
            <a:chExt cx="146450" cy="145950"/>
          </a:xfrm>
          <a:grpFill/>
        </xdr:grpSpPr>
        <xdr:sp macro="" textlink="">
          <xdr:nvSpPr>
            <xdr:cNvPr id="23" name="Google Shape;463;p21">
              <a:extLst>
                <a:ext uri="{FF2B5EF4-FFF2-40B4-BE49-F238E27FC236}">
                  <a16:creationId xmlns:a16="http://schemas.microsoft.com/office/drawing/2014/main" id="{1F24C7F7-6AD0-4AB2-8594-A3D0FB77236C}"/>
                </a:ext>
              </a:extLst>
            </xdr:cNvPr>
            <xdr:cNvSpPr/>
          </xdr:nvSpPr>
          <xdr:spPr>
            <a:xfrm>
              <a:off x="4754313" y="2318300"/>
              <a:ext cx="9825" cy="9825"/>
            </a:xfrm>
            <a:custGeom>
              <a:avLst/>
              <a:gdLst/>
              <a:ahLst/>
              <a:cxnLst/>
              <a:rect l="l" t="t" r="r" b="b"/>
              <a:pathLst>
                <a:path w="393" h="393" extrusionOk="0">
                  <a:moveTo>
                    <a:pt x="191" y="0"/>
                  </a:moveTo>
                  <a:cubicBezTo>
                    <a:pt x="84" y="0"/>
                    <a:pt x="0" y="83"/>
                    <a:pt x="0" y="191"/>
                  </a:cubicBezTo>
                  <a:cubicBezTo>
                    <a:pt x="0" y="298"/>
                    <a:pt x="84" y="393"/>
                    <a:pt x="191" y="393"/>
                  </a:cubicBezTo>
                  <a:cubicBezTo>
                    <a:pt x="298" y="393"/>
                    <a:pt x="393" y="298"/>
                    <a:pt x="393" y="191"/>
                  </a:cubicBezTo>
                  <a:cubicBezTo>
                    <a:pt x="393" y="83"/>
                    <a:pt x="298" y="0"/>
                    <a:pt x="191" y="0"/>
                  </a:cubicBezTo>
                  <a:close/>
                </a:path>
              </a:pathLst>
            </a:custGeom>
            <a:grpFill/>
            <a:ln>
              <a:noFill/>
            </a:ln>
          </xdr:spPr>
          <xdr:txBody>
            <a:bodyPr spcFirstLastPara="1" wrap="square" lIns="121900" tIns="121900" rIns="121900" bIns="121900" anchor="ctr" anchorCtr="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1219170">
                <a:buClr>
                  <a:srgbClr val="000000"/>
                </a:buClr>
              </a:pPr>
              <a:endParaRPr sz="1867" kern="0">
                <a:noFill/>
                <a:latin typeface="Arial"/>
                <a:cs typeface="Arial"/>
                <a:sym typeface="Arial"/>
              </a:endParaRPr>
            </a:p>
          </xdr:txBody>
        </xdr:sp>
        <xdr:sp macro="" textlink="">
          <xdr:nvSpPr>
            <xdr:cNvPr id="24" name="Google Shape;464;p21">
              <a:extLst>
                <a:ext uri="{FF2B5EF4-FFF2-40B4-BE49-F238E27FC236}">
                  <a16:creationId xmlns:a16="http://schemas.microsoft.com/office/drawing/2014/main" id="{BA5B618A-546E-4251-88A1-D8DE34F3CE52}"/>
                </a:ext>
              </a:extLst>
            </xdr:cNvPr>
            <xdr:cNvSpPr/>
          </xdr:nvSpPr>
          <xdr:spPr>
            <a:xfrm>
              <a:off x="4665913" y="2406700"/>
              <a:ext cx="9825" cy="9850"/>
            </a:xfrm>
            <a:custGeom>
              <a:avLst/>
              <a:gdLst/>
              <a:ahLst/>
              <a:cxnLst/>
              <a:rect l="l" t="t" r="r" b="b"/>
              <a:pathLst>
                <a:path w="393" h="394" extrusionOk="0">
                  <a:moveTo>
                    <a:pt x="191" y="0"/>
                  </a:moveTo>
                  <a:cubicBezTo>
                    <a:pt x="83" y="0"/>
                    <a:pt x="0" y="84"/>
                    <a:pt x="0" y="191"/>
                  </a:cubicBezTo>
                  <a:cubicBezTo>
                    <a:pt x="0" y="298"/>
                    <a:pt x="83" y="393"/>
                    <a:pt x="191" y="393"/>
                  </a:cubicBezTo>
                  <a:cubicBezTo>
                    <a:pt x="298" y="393"/>
                    <a:pt x="393" y="298"/>
                    <a:pt x="393" y="191"/>
                  </a:cubicBezTo>
                  <a:cubicBezTo>
                    <a:pt x="393" y="84"/>
                    <a:pt x="298" y="0"/>
                    <a:pt x="191" y="0"/>
                  </a:cubicBezTo>
                  <a:close/>
                </a:path>
              </a:pathLst>
            </a:custGeom>
            <a:grpFill/>
            <a:ln>
              <a:noFill/>
            </a:ln>
          </xdr:spPr>
          <xdr:txBody>
            <a:bodyPr spcFirstLastPara="1" wrap="square" lIns="121900" tIns="121900" rIns="121900" bIns="121900" anchor="ctr" anchorCtr="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1219170">
                <a:buClr>
                  <a:srgbClr val="000000"/>
                </a:buClr>
              </a:pPr>
              <a:endParaRPr sz="1867" kern="0">
                <a:noFill/>
                <a:latin typeface="Arial"/>
                <a:cs typeface="Arial"/>
                <a:sym typeface="Arial"/>
              </a:endParaRPr>
            </a:p>
          </xdr:txBody>
        </xdr:sp>
        <xdr:sp macro="" textlink="">
          <xdr:nvSpPr>
            <xdr:cNvPr id="27" name="Google Shape;467;p21">
              <a:extLst>
                <a:ext uri="{FF2B5EF4-FFF2-40B4-BE49-F238E27FC236}">
                  <a16:creationId xmlns:a16="http://schemas.microsoft.com/office/drawing/2014/main" id="{F8209D15-B0B6-499E-9F93-53006F748D4D}"/>
                </a:ext>
              </a:extLst>
            </xdr:cNvPr>
            <xdr:cNvSpPr/>
          </xdr:nvSpPr>
          <xdr:spPr>
            <a:xfrm>
              <a:off x="4757588" y="2410700"/>
              <a:ext cx="54775" cy="53550"/>
            </a:xfrm>
            <a:custGeom>
              <a:avLst/>
              <a:gdLst/>
              <a:ahLst/>
              <a:cxnLst/>
              <a:rect l="l" t="t" r="r" b="b"/>
              <a:pathLst>
                <a:path w="2191" h="2142" extrusionOk="0">
                  <a:moveTo>
                    <a:pt x="220" y="1"/>
                  </a:moveTo>
                  <a:cubicBezTo>
                    <a:pt x="170" y="1"/>
                    <a:pt x="119" y="19"/>
                    <a:pt x="83" y="55"/>
                  </a:cubicBezTo>
                  <a:cubicBezTo>
                    <a:pt x="0" y="138"/>
                    <a:pt x="0" y="257"/>
                    <a:pt x="83" y="328"/>
                  </a:cubicBezTo>
                  <a:lnTo>
                    <a:pt x="1834" y="2079"/>
                  </a:lnTo>
                  <a:cubicBezTo>
                    <a:pt x="1875" y="2120"/>
                    <a:pt x="1926" y="2141"/>
                    <a:pt x="1975" y="2141"/>
                  </a:cubicBezTo>
                  <a:cubicBezTo>
                    <a:pt x="2024" y="2141"/>
                    <a:pt x="2072" y="2120"/>
                    <a:pt x="2108" y="2079"/>
                  </a:cubicBezTo>
                  <a:cubicBezTo>
                    <a:pt x="2191" y="2007"/>
                    <a:pt x="2191" y="1876"/>
                    <a:pt x="2108" y="1805"/>
                  </a:cubicBezTo>
                  <a:lnTo>
                    <a:pt x="357" y="55"/>
                  </a:lnTo>
                  <a:cubicBezTo>
                    <a:pt x="322" y="19"/>
                    <a:pt x="271" y="1"/>
                    <a:pt x="220" y="1"/>
                  </a:cubicBezTo>
                  <a:close/>
                </a:path>
              </a:pathLst>
            </a:custGeom>
            <a:grpFill/>
            <a:ln>
              <a:noFill/>
            </a:ln>
          </xdr:spPr>
          <xdr:txBody>
            <a:bodyPr spcFirstLastPara="1" wrap="square" lIns="121900" tIns="121900" rIns="121900" bIns="121900" anchor="ctr" anchorCtr="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1219170">
                <a:buClr>
                  <a:srgbClr val="000000"/>
                </a:buClr>
              </a:pPr>
              <a:endParaRPr sz="1867" kern="0">
                <a:noFill/>
                <a:latin typeface="Arial"/>
                <a:cs typeface="Arial"/>
                <a:sym typeface="Arial"/>
              </a:endParaRPr>
            </a:p>
          </xdr:txBody>
        </xdr:sp>
      </xdr:grpSp>
    </xdr:grpSp>
    <xdr:clientData/>
  </xdr:twoCellAnchor>
  <xdr:twoCellAnchor editAs="absolute">
    <xdr:from>
      <xdr:col>7</xdr:col>
      <xdr:colOff>90483</xdr:colOff>
      <xdr:row>1</xdr:row>
      <xdr:rowOff>106567</xdr:rowOff>
    </xdr:from>
    <xdr:to>
      <xdr:col>9</xdr:col>
      <xdr:colOff>118421</xdr:colOff>
      <xdr:row>4</xdr:row>
      <xdr:rowOff>174340</xdr:rowOff>
    </xdr:to>
    <xdr:sp macro="" textlink="">
      <xdr:nvSpPr>
        <xdr:cNvPr id="16" name="Rectángulo redondeado 132">
          <a:hlinkClick xmlns:r="http://schemas.openxmlformats.org/officeDocument/2006/relationships" r:id="rId3"/>
          <a:extLst>
            <a:ext uri="{FF2B5EF4-FFF2-40B4-BE49-F238E27FC236}">
              <a16:creationId xmlns:a16="http://schemas.microsoft.com/office/drawing/2014/main" id="{4C839811-6CD1-43F8-A55B-AC7C50CD2184}"/>
            </a:ext>
          </a:extLst>
        </xdr:cNvPr>
        <xdr:cNvSpPr/>
      </xdr:nvSpPr>
      <xdr:spPr>
        <a:xfrm>
          <a:off x="6845296" y="963817"/>
          <a:ext cx="2052000" cy="639273"/>
        </a:xfrm>
        <a:prstGeom prst="roundRect">
          <a:avLst>
            <a:gd name="adj" fmla="val 29902"/>
          </a:avLst>
        </a:prstGeom>
        <a:solidFill>
          <a:srgbClr val="20331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atin typeface="Opella Sans" pitchFamily="2" charset="0"/>
              <a:cs typeface="Opella Sans" pitchFamily="2" charset="0"/>
            </a:rPr>
            <a:t>Ir a:</a:t>
          </a:r>
        </a:p>
        <a:p>
          <a:pPr algn="l"/>
          <a:r>
            <a:rPr lang="es-CO" sz="1100" b="1">
              <a:solidFill>
                <a:schemeClr val="lt1"/>
              </a:solidFill>
              <a:effectLst/>
              <a:latin typeface="Opella Sans" pitchFamily="2" charset="0"/>
              <a:ea typeface="+mn-ea"/>
              <a:cs typeface="Opella Sans" pitchFamily="2" charset="0"/>
            </a:rPr>
            <a:t>Diferencia de Precios.</a:t>
          </a:r>
          <a:endParaRPr lang="es-CO" sz="1100" b="1">
            <a:latin typeface="Opella Sans" pitchFamily="2" charset="0"/>
            <a:cs typeface="Opella Sans" pitchFamily="2" charset="0"/>
          </a:endParaRPr>
        </a:p>
      </xdr:txBody>
    </xdr:sp>
    <xdr:clientData/>
  </xdr:twoCellAnchor>
  <xdr:twoCellAnchor editAs="absolute">
    <xdr:from>
      <xdr:col>0</xdr:col>
      <xdr:colOff>126995</xdr:colOff>
      <xdr:row>1</xdr:row>
      <xdr:rowOff>106757</xdr:rowOff>
    </xdr:from>
    <xdr:to>
      <xdr:col>2</xdr:col>
      <xdr:colOff>960433</xdr:colOff>
      <xdr:row>4</xdr:row>
      <xdr:rowOff>176057</xdr:rowOff>
    </xdr:to>
    <xdr:sp macro="" textlink="">
      <xdr:nvSpPr>
        <xdr:cNvPr id="41" name="Rectángulo redondeado 132">
          <a:hlinkClick xmlns:r="http://schemas.openxmlformats.org/officeDocument/2006/relationships" r:id="rId4"/>
          <a:extLst>
            <a:ext uri="{FF2B5EF4-FFF2-40B4-BE49-F238E27FC236}">
              <a16:creationId xmlns:a16="http://schemas.microsoft.com/office/drawing/2014/main" id="{A2CB460C-260B-405B-8A8E-F9AC21A7EA98}"/>
            </a:ext>
          </a:extLst>
        </xdr:cNvPr>
        <xdr:cNvSpPr>
          <a:spLocks noChangeAspect="1"/>
        </xdr:cNvSpPr>
      </xdr:nvSpPr>
      <xdr:spPr>
        <a:xfrm>
          <a:off x="126995" y="964007"/>
          <a:ext cx="2063751" cy="640800"/>
        </a:xfrm>
        <a:prstGeom prst="roundRect">
          <a:avLst>
            <a:gd name="adj" fmla="val 29902"/>
          </a:avLst>
        </a:prstGeom>
        <a:solidFill>
          <a:srgbClr val="20331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atin typeface="Opella Sans" pitchFamily="2" charset="0"/>
              <a:cs typeface="Opella Sans" pitchFamily="2" charset="0"/>
            </a:rPr>
            <a:t>Ir a:</a:t>
          </a:r>
        </a:p>
        <a:p>
          <a:pPr algn="l"/>
          <a:r>
            <a:rPr lang="es-CO" sz="1100" b="1" baseline="0">
              <a:solidFill>
                <a:schemeClr val="lt1"/>
              </a:solidFill>
              <a:effectLst/>
              <a:latin typeface="Opella Sans" pitchFamily="2" charset="0"/>
              <a:ea typeface="+mn-ea"/>
              <a:cs typeface="Opella Sans" pitchFamily="2" charset="0"/>
            </a:rPr>
            <a:t>Facturado sin Novedad</a:t>
          </a:r>
          <a:r>
            <a:rPr lang="es-CO" sz="1100" b="1">
              <a:solidFill>
                <a:schemeClr val="lt1"/>
              </a:solidFill>
              <a:effectLst/>
              <a:latin typeface="Opella Sans" pitchFamily="2" charset="0"/>
              <a:ea typeface="+mn-ea"/>
              <a:cs typeface="Opella Sans" pitchFamily="2" charset="0"/>
            </a:rPr>
            <a:t>.</a:t>
          </a:r>
          <a:endParaRPr lang="es-CO">
            <a:effectLst/>
            <a:latin typeface="Opella Sans" pitchFamily="2" charset="0"/>
            <a:cs typeface="Opella Sans" pitchFamily="2" charset="0"/>
          </a:endParaRPr>
        </a:p>
      </xdr:txBody>
    </xdr:sp>
    <xdr:clientData/>
  </xdr:twoCellAnchor>
  <xdr:twoCellAnchor editAs="oneCell">
    <xdr:from>
      <xdr:col>3</xdr:col>
      <xdr:colOff>579438</xdr:colOff>
      <xdr:row>5</xdr:row>
      <xdr:rowOff>165100</xdr:rowOff>
    </xdr:from>
    <xdr:to>
      <xdr:col>8</xdr:col>
      <xdr:colOff>365125</xdr:colOff>
      <xdr:row>10</xdr:row>
      <xdr:rowOff>71437</xdr:rowOff>
    </xdr:to>
    <mc:AlternateContent xmlns:mc="http://schemas.openxmlformats.org/markup-compatibility/2006" xmlns:a14="http://schemas.microsoft.com/office/drawing/2010/main">
      <mc:Choice Requires="a14">
        <xdr:graphicFrame macro="">
          <xdr:nvGraphicFramePr>
            <xdr:cNvPr id="3" name="Ship To - City">
              <a:extLst>
                <a:ext uri="{FF2B5EF4-FFF2-40B4-BE49-F238E27FC236}">
                  <a16:creationId xmlns:a16="http://schemas.microsoft.com/office/drawing/2014/main" id="{4E6BD418-ADB9-FAD9-7E33-CE78DB21CDE5}"/>
                </a:ext>
              </a:extLst>
            </xdr:cNvPr>
            <xdr:cNvGraphicFramePr/>
          </xdr:nvGraphicFramePr>
          <xdr:xfrm>
            <a:off x="0" y="0"/>
            <a:ext cx="0" cy="0"/>
          </xdr:xfrm>
          <a:graphic>
            <a:graphicData uri="http://schemas.microsoft.com/office/drawing/2010/slicer">
              <sle:slicer xmlns:sle="http://schemas.microsoft.com/office/drawing/2010/slicer" name="Ship To - City"/>
            </a:graphicData>
          </a:graphic>
        </xdr:graphicFrame>
      </mc:Choice>
      <mc:Fallback xmlns="">
        <xdr:sp macro="" textlink="">
          <xdr:nvSpPr>
            <xdr:cNvPr id="0" name=""/>
            <xdr:cNvSpPr>
              <a:spLocks noTextEdit="1"/>
            </xdr:cNvSpPr>
          </xdr:nvSpPr>
          <xdr:spPr>
            <a:xfrm>
              <a:off x="2770188" y="1784350"/>
              <a:ext cx="5143500" cy="104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209550</xdr:colOff>
      <xdr:row>5</xdr:row>
      <xdr:rowOff>157164</xdr:rowOff>
    </xdr:from>
    <xdr:to>
      <xdr:col>3</xdr:col>
      <xdr:colOff>244475</xdr:colOff>
      <xdr:row>17</xdr:row>
      <xdr:rowOff>101601</xdr:rowOff>
    </xdr:to>
    <mc:AlternateContent xmlns:mc="http://schemas.openxmlformats.org/markup-compatibility/2006" xmlns:a14="http://schemas.microsoft.com/office/drawing/2010/main">
      <mc:Choice Requires="a14">
        <xdr:graphicFrame macro="">
          <xdr:nvGraphicFramePr>
            <xdr:cNvPr id="7" name="Sales Doc. Creation">
              <a:extLst>
                <a:ext uri="{FF2B5EF4-FFF2-40B4-BE49-F238E27FC236}">
                  <a16:creationId xmlns:a16="http://schemas.microsoft.com/office/drawing/2014/main" id="{471F0753-8CE5-2651-CABB-6DB9D31B3FDB}"/>
                </a:ext>
              </a:extLst>
            </xdr:cNvPr>
            <xdr:cNvGraphicFramePr/>
          </xdr:nvGraphicFramePr>
          <xdr:xfrm>
            <a:off x="0" y="0"/>
            <a:ext cx="0" cy="0"/>
          </xdr:xfrm>
          <a:graphic>
            <a:graphicData uri="http://schemas.microsoft.com/office/drawing/2010/slicer">
              <sle:slicer xmlns:sle="http://schemas.microsoft.com/office/drawing/2010/slicer" name="Sales Doc. Creation"/>
            </a:graphicData>
          </a:graphic>
        </xdr:graphicFrame>
      </mc:Choice>
      <mc:Fallback xmlns="">
        <xdr:sp macro="" textlink="">
          <xdr:nvSpPr>
            <xdr:cNvPr id="0" name=""/>
            <xdr:cNvSpPr>
              <a:spLocks noTextEdit="1"/>
            </xdr:cNvSpPr>
          </xdr:nvSpPr>
          <xdr:spPr>
            <a:xfrm>
              <a:off x="209550" y="136366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23930</xdr:colOff>
      <xdr:row>0</xdr:row>
      <xdr:rowOff>0</xdr:rowOff>
    </xdr:from>
    <xdr:to>
      <xdr:col>14</xdr:col>
      <xdr:colOff>23817</xdr:colOff>
      <xdr:row>1</xdr:row>
      <xdr:rowOff>126999</xdr:rowOff>
    </xdr:to>
    <xdr:pic>
      <xdr:nvPicPr>
        <xdr:cNvPr id="12" name="Graphic 11">
          <a:extLst>
            <a:ext uri="{FF2B5EF4-FFF2-40B4-BE49-F238E27FC236}">
              <a16:creationId xmlns:a16="http://schemas.microsoft.com/office/drawing/2014/main" id="{44ED6C75-90C4-23F5-4667-52003D8D7DE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024930" y="0"/>
          <a:ext cx="3984512" cy="984249"/>
        </a:xfrm>
        <a:prstGeom prst="rect">
          <a:avLst/>
        </a:prstGeom>
      </xdr:spPr>
    </xdr:pic>
    <xdr:clientData/>
  </xdr:twoCellAnchor>
  <xdr:twoCellAnchor editAs="absolute">
    <xdr:from>
      <xdr:col>12</xdr:col>
      <xdr:colOff>142870</xdr:colOff>
      <xdr:row>1</xdr:row>
      <xdr:rowOff>63500</xdr:rowOff>
    </xdr:from>
    <xdr:to>
      <xdr:col>14</xdr:col>
      <xdr:colOff>686745</xdr:colOff>
      <xdr:row>4</xdr:row>
      <xdr:rowOff>131273</xdr:rowOff>
    </xdr:to>
    <xdr:sp macro="" textlink="">
      <xdr:nvSpPr>
        <xdr:cNvPr id="10" name="Rectángulo redondeado 132">
          <a:hlinkClick xmlns:r="http://schemas.openxmlformats.org/officeDocument/2006/relationships" r:id="rId7"/>
          <a:extLst>
            <a:ext uri="{FF2B5EF4-FFF2-40B4-BE49-F238E27FC236}">
              <a16:creationId xmlns:a16="http://schemas.microsoft.com/office/drawing/2014/main" id="{BB73A3E8-5566-4BC5-9626-AF6130EE0274}"/>
            </a:ext>
          </a:extLst>
        </xdr:cNvPr>
        <xdr:cNvSpPr/>
      </xdr:nvSpPr>
      <xdr:spPr>
        <a:xfrm>
          <a:off x="11398245" y="920750"/>
          <a:ext cx="2052000" cy="639273"/>
        </a:xfrm>
        <a:prstGeom prst="roundRect">
          <a:avLst>
            <a:gd name="adj" fmla="val 29902"/>
          </a:avLst>
        </a:prstGeom>
        <a:solidFill>
          <a:srgbClr val="20331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atin typeface="Opella Sans" pitchFamily="2" charset="0"/>
              <a:cs typeface="Opella Sans" pitchFamily="2" charset="0"/>
            </a:rPr>
            <a:t>Ir a:</a:t>
          </a:r>
        </a:p>
        <a:p>
          <a:pPr algn="l"/>
          <a:r>
            <a:rPr lang="es-CO" sz="1100" b="1">
              <a:solidFill>
                <a:schemeClr val="lt1"/>
              </a:solidFill>
              <a:effectLst/>
              <a:latin typeface="Opella Sans" pitchFamily="2" charset="0"/>
              <a:ea typeface="+mn-ea"/>
              <a:cs typeface="Opella Sans" pitchFamily="2" charset="0"/>
            </a:rPr>
            <a:t>Fechas de Agotados.</a:t>
          </a:r>
          <a:endParaRPr lang="es-CO" sz="1100" b="1">
            <a:latin typeface="Opella Sans" pitchFamily="2" charset="0"/>
            <a:cs typeface="Opella Sans" pitchFamily="2" charset="0"/>
          </a:endParaRPr>
        </a:p>
      </xdr:txBody>
    </xdr:sp>
    <xdr:clientData/>
  </xdr:twoCellAnchor>
  <xdr:twoCellAnchor editAs="absolute">
    <xdr:from>
      <xdr:col>9</xdr:col>
      <xdr:colOff>342895</xdr:colOff>
      <xdr:row>1</xdr:row>
      <xdr:rowOff>80961</xdr:rowOff>
    </xdr:from>
    <xdr:to>
      <xdr:col>11</xdr:col>
      <xdr:colOff>672457</xdr:colOff>
      <xdr:row>4</xdr:row>
      <xdr:rowOff>148734</xdr:rowOff>
    </xdr:to>
    <xdr:sp macro="" textlink="">
      <xdr:nvSpPr>
        <xdr:cNvPr id="2" name="Rectángulo redondeado 132">
          <a:hlinkClick xmlns:r="http://schemas.openxmlformats.org/officeDocument/2006/relationships" r:id="rId8"/>
          <a:extLst>
            <a:ext uri="{FF2B5EF4-FFF2-40B4-BE49-F238E27FC236}">
              <a16:creationId xmlns:a16="http://schemas.microsoft.com/office/drawing/2014/main" id="{FD6CB5CC-7509-4806-A19A-8642600E1E2A}"/>
            </a:ext>
          </a:extLst>
        </xdr:cNvPr>
        <xdr:cNvSpPr/>
      </xdr:nvSpPr>
      <xdr:spPr>
        <a:xfrm>
          <a:off x="9121770" y="938211"/>
          <a:ext cx="2052000" cy="639273"/>
        </a:xfrm>
        <a:prstGeom prst="roundRect">
          <a:avLst>
            <a:gd name="adj" fmla="val 29902"/>
          </a:avLst>
        </a:prstGeom>
        <a:solidFill>
          <a:srgbClr val="20331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atin typeface="Opella Sans" pitchFamily="2" charset="0"/>
              <a:cs typeface="Opella Sans" pitchFamily="2" charset="0"/>
            </a:rPr>
            <a:t>Ir a:</a:t>
          </a:r>
        </a:p>
        <a:p>
          <a:pPr algn="l"/>
          <a:r>
            <a:rPr lang="es-CO" sz="1100" b="1">
              <a:solidFill>
                <a:schemeClr val="lt1"/>
              </a:solidFill>
              <a:effectLst/>
              <a:latin typeface="Opella Sans" pitchFamily="2" charset="0"/>
              <a:ea typeface="+mn-ea"/>
              <a:cs typeface="Opella Sans" pitchFamily="2" charset="0"/>
            </a:rPr>
            <a:t>Otros</a:t>
          </a:r>
          <a:r>
            <a:rPr lang="es-CO" sz="1100" b="1" baseline="0">
              <a:solidFill>
                <a:schemeClr val="lt1"/>
              </a:solidFill>
              <a:effectLst/>
              <a:latin typeface="Opella Sans" pitchFamily="2" charset="0"/>
              <a:ea typeface="+mn-ea"/>
              <a:cs typeface="Opella Sans" pitchFamily="2" charset="0"/>
            </a:rPr>
            <a:t> Motivos</a:t>
          </a:r>
          <a:r>
            <a:rPr lang="es-CO" sz="1100" b="1">
              <a:solidFill>
                <a:schemeClr val="lt1"/>
              </a:solidFill>
              <a:effectLst/>
              <a:latin typeface="Opella Sans" pitchFamily="2" charset="0"/>
              <a:ea typeface="+mn-ea"/>
              <a:cs typeface="Opella Sans" pitchFamily="2" charset="0"/>
            </a:rPr>
            <a:t>.</a:t>
          </a:r>
          <a:endParaRPr lang="es-CO" sz="1100" b="1">
            <a:latin typeface="Opella Sans" pitchFamily="2" charset="0"/>
            <a:cs typeface="Opella Sans" pitchFamily="2" charset="0"/>
          </a:endParaRPr>
        </a:p>
      </xdr:txBody>
    </xdr:sp>
    <xdr:clientData/>
  </xdr:twoCellAnchor>
  <xdr:twoCellAnchor editAs="oneCell">
    <xdr:from>
      <xdr:col>8</xdr:col>
      <xdr:colOff>585787</xdr:colOff>
      <xdr:row>5</xdr:row>
      <xdr:rowOff>174625</xdr:rowOff>
    </xdr:from>
    <xdr:to>
      <xdr:col>10</xdr:col>
      <xdr:colOff>596900</xdr:colOff>
      <xdr:row>17</xdr:row>
      <xdr:rowOff>119062</xdr:rowOff>
    </xdr:to>
    <mc:AlternateContent xmlns:mc="http://schemas.openxmlformats.org/markup-compatibility/2006" xmlns:a14="http://schemas.microsoft.com/office/drawing/2010/main">
      <mc:Choice Requires="a14">
        <xdr:graphicFrame macro="">
          <xdr:nvGraphicFramePr>
            <xdr:cNvPr id="4" name="Sales Document">
              <a:extLst>
                <a:ext uri="{FF2B5EF4-FFF2-40B4-BE49-F238E27FC236}">
                  <a16:creationId xmlns:a16="http://schemas.microsoft.com/office/drawing/2014/main" id="{99E35222-5E6B-B539-2030-41EE38663E62}"/>
                </a:ext>
              </a:extLst>
            </xdr:cNvPr>
            <xdr:cNvGraphicFramePr/>
          </xdr:nvGraphicFramePr>
          <xdr:xfrm>
            <a:off x="0" y="0"/>
            <a:ext cx="0" cy="0"/>
          </xdr:xfrm>
          <a:graphic>
            <a:graphicData uri="http://schemas.microsoft.com/office/drawing/2010/slicer">
              <sle:slicer xmlns:sle="http://schemas.microsoft.com/office/drawing/2010/slicer" name="Sales Document"/>
            </a:graphicData>
          </a:graphic>
        </xdr:graphicFrame>
      </mc:Choice>
      <mc:Fallback xmlns="">
        <xdr:sp macro="" textlink="">
          <xdr:nvSpPr>
            <xdr:cNvPr id="0" name=""/>
            <xdr:cNvSpPr>
              <a:spLocks noTextEdit="1"/>
            </xdr:cNvSpPr>
          </xdr:nvSpPr>
          <xdr:spPr>
            <a:xfrm>
              <a:off x="8515350" y="1793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2892425</xdr:colOff>
      <xdr:row>1</xdr:row>
      <xdr:rowOff>15875</xdr:rowOff>
    </xdr:from>
    <xdr:to>
      <xdr:col>6</xdr:col>
      <xdr:colOff>785813</xdr:colOff>
      <xdr:row>3</xdr:row>
      <xdr:rowOff>117475</xdr:rowOff>
    </xdr:to>
    <xdr:sp macro="" textlink="">
      <xdr:nvSpPr>
        <xdr:cNvPr id="4" name="Flecha: hacia la izquierda 3">
          <a:hlinkClick xmlns:r="http://schemas.openxmlformats.org/officeDocument/2006/relationships" r:id="rId1"/>
          <a:extLst>
            <a:ext uri="{FF2B5EF4-FFF2-40B4-BE49-F238E27FC236}">
              <a16:creationId xmlns:a16="http://schemas.microsoft.com/office/drawing/2014/main" id="{70719CB4-906C-4CAD-98C4-070FF76A28B6}"/>
            </a:ext>
          </a:extLst>
        </xdr:cNvPr>
        <xdr:cNvSpPr>
          <a:spLocks noChangeAspect="1"/>
        </xdr:cNvSpPr>
      </xdr:nvSpPr>
      <xdr:spPr>
        <a:xfrm>
          <a:off x="9504363" y="579438"/>
          <a:ext cx="989013" cy="450850"/>
        </a:xfrm>
        <a:prstGeom prst="leftArrow">
          <a:avLst/>
        </a:prstGeom>
        <a:solidFill>
          <a:srgbClr val="203315"/>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a:latin typeface="Opella Sans" pitchFamily="2" charset="0"/>
              <a:cs typeface="Opella Sans" pitchFamily="2" charset="0"/>
            </a:rPr>
            <a:t>volver</a:t>
          </a:r>
        </a:p>
      </xdr:txBody>
    </xdr:sp>
    <xdr:clientData/>
  </xdr:twoCellAnchor>
  <xdr:twoCellAnchor editAs="oneCell">
    <xdr:from>
      <xdr:col>0</xdr:col>
      <xdr:colOff>0</xdr:colOff>
      <xdr:row>0</xdr:row>
      <xdr:rowOff>0</xdr:rowOff>
    </xdr:from>
    <xdr:to>
      <xdr:col>2</xdr:col>
      <xdr:colOff>627062</xdr:colOff>
      <xdr:row>1</xdr:row>
      <xdr:rowOff>71707</xdr:rowOff>
    </xdr:to>
    <xdr:pic>
      <xdr:nvPicPr>
        <xdr:cNvPr id="3" name="Graphic 2">
          <a:extLst>
            <a:ext uri="{FF2B5EF4-FFF2-40B4-BE49-F238E27FC236}">
              <a16:creationId xmlns:a16="http://schemas.microsoft.com/office/drawing/2014/main" id="{BEFA4584-E8C5-460F-B03C-9940B08ABE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2571750" cy="6352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2820988</xdr:colOff>
      <xdr:row>1</xdr:row>
      <xdr:rowOff>15875</xdr:rowOff>
    </xdr:from>
    <xdr:to>
      <xdr:col>6</xdr:col>
      <xdr:colOff>952501</xdr:colOff>
      <xdr:row>3</xdr:row>
      <xdr:rowOff>117475</xdr:rowOff>
    </xdr:to>
    <xdr:sp macro="" textlink="">
      <xdr:nvSpPr>
        <xdr:cNvPr id="2" name="Flecha: hacia la izquierda 3">
          <a:hlinkClick xmlns:r="http://schemas.openxmlformats.org/officeDocument/2006/relationships" r:id="rId1"/>
          <a:extLst>
            <a:ext uri="{FF2B5EF4-FFF2-40B4-BE49-F238E27FC236}">
              <a16:creationId xmlns:a16="http://schemas.microsoft.com/office/drawing/2014/main" id="{762AE753-75B3-43EB-A07F-482A17367DBA}"/>
            </a:ext>
          </a:extLst>
        </xdr:cNvPr>
        <xdr:cNvSpPr>
          <a:spLocks noChangeAspect="1"/>
        </xdr:cNvSpPr>
      </xdr:nvSpPr>
      <xdr:spPr>
        <a:xfrm>
          <a:off x="9501188" y="581025"/>
          <a:ext cx="990600" cy="454025"/>
        </a:xfrm>
        <a:prstGeom prst="leftArrow">
          <a:avLst/>
        </a:prstGeom>
        <a:solidFill>
          <a:srgbClr val="203315"/>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a:latin typeface="Opella Sans" pitchFamily="2" charset="0"/>
              <a:cs typeface="Opella Sans" pitchFamily="2" charset="0"/>
            </a:rPr>
            <a:t>volver</a:t>
          </a:r>
        </a:p>
      </xdr:txBody>
    </xdr:sp>
    <xdr:clientData/>
  </xdr:twoCellAnchor>
  <xdr:twoCellAnchor editAs="oneCell">
    <xdr:from>
      <xdr:col>0</xdr:col>
      <xdr:colOff>0</xdr:colOff>
      <xdr:row>0</xdr:row>
      <xdr:rowOff>0</xdr:rowOff>
    </xdr:from>
    <xdr:to>
      <xdr:col>2</xdr:col>
      <xdr:colOff>650875</xdr:colOff>
      <xdr:row>1</xdr:row>
      <xdr:rowOff>71707</xdr:rowOff>
    </xdr:to>
    <xdr:pic>
      <xdr:nvPicPr>
        <xdr:cNvPr id="4" name="Graphic 3">
          <a:extLst>
            <a:ext uri="{FF2B5EF4-FFF2-40B4-BE49-F238E27FC236}">
              <a16:creationId xmlns:a16="http://schemas.microsoft.com/office/drawing/2014/main" id="{9B0C596A-C612-46C6-B74D-7DD8CA13D81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2571750" cy="63527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5</xdr:col>
      <xdr:colOff>3074988</xdr:colOff>
      <xdr:row>1</xdr:row>
      <xdr:rowOff>15875</xdr:rowOff>
    </xdr:from>
    <xdr:to>
      <xdr:col>6</xdr:col>
      <xdr:colOff>825501</xdr:colOff>
      <xdr:row>3</xdr:row>
      <xdr:rowOff>117475</xdr:rowOff>
    </xdr:to>
    <xdr:sp macro="" textlink="">
      <xdr:nvSpPr>
        <xdr:cNvPr id="2" name="Flecha: hacia la izquierda 3">
          <a:hlinkClick xmlns:r="http://schemas.openxmlformats.org/officeDocument/2006/relationships" r:id="rId1"/>
          <a:extLst>
            <a:ext uri="{FF2B5EF4-FFF2-40B4-BE49-F238E27FC236}">
              <a16:creationId xmlns:a16="http://schemas.microsoft.com/office/drawing/2014/main" id="{349FDB86-E6FD-4021-8BD7-3A90F324B983}"/>
            </a:ext>
          </a:extLst>
        </xdr:cNvPr>
        <xdr:cNvSpPr>
          <a:spLocks noChangeAspect="1"/>
        </xdr:cNvSpPr>
      </xdr:nvSpPr>
      <xdr:spPr>
        <a:xfrm>
          <a:off x="9501188" y="581025"/>
          <a:ext cx="990600" cy="454025"/>
        </a:xfrm>
        <a:prstGeom prst="leftArrow">
          <a:avLst/>
        </a:prstGeom>
        <a:solidFill>
          <a:srgbClr val="203315"/>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a:latin typeface="Opella Sans" pitchFamily="2" charset="0"/>
              <a:cs typeface="Opella Sans" pitchFamily="2" charset="0"/>
            </a:rPr>
            <a:t>volver</a:t>
          </a:r>
        </a:p>
      </xdr:txBody>
    </xdr:sp>
    <xdr:clientData/>
  </xdr:twoCellAnchor>
  <xdr:twoCellAnchor editAs="oneCell">
    <xdr:from>
      <xdr:col>0</xdr:col>
      <xdr:colOff>0</xdr:colOff>
      <xdr:row>0</xdr:row>
      <xdr:rowOff>0</xdr:rowOff>
    </xdr:from>
    <xdr:to>
      <xdr:col>2</xdr:col>
      <xdr:colOff>809625</xdr:colOff>
      <xdr:row>1</xdr:row>
      <xdr:rowOff>71707</xdr:rowOff>
    </xdr:to>
    <xdr:pic>
      <xdr:nvPicPr>
        <xdr:cNvPr id="3" name="Graphic 2">
          <a:extLst>
            <a:ext uri="{FF2B5EF4-FFF2-40B4-BE49-F238E27FC236}">
              <a16:creationId xmlns:a16="http://schemas.microsoft.com/office/drawing/2014/main" id="{4A2D4E48-F5D5-4964-9DB8-D5ADD93F798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2571750" cy="6352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6</xdr:col>
      <xdr:colOff>153988</xdr:colOff>
      <xdr:row>1</xdr:row>
      <xdr:rowOff>15875</xdr:rowOff>
    </xdr:from>
    <xdr:to>
      <xdr:col>7</xdr:col>
      <xdr:colOff>47626</xdr:colOff>
      <xdr:row>3</xdr:row>
      <xdr:rowOff>117475</xdr:rowOff>
    </xdr:to>
    <xdr:sp macro="" textlink="">
      <xdr:nvSpPr>
        <xdr:cNvPr id="2" name="Flecha: hacia la izquierda 3">
          <a:hlinkClick xmlns:r="http://schemas.openxmlformats.org/officeDocument/2006/relationships" r:id="rId1"/>
          <a:extLst>
            <a:ext uri="{FF2B5EF4-FFF2-40B4-BE49-F238E27FC236}">
              <a16:creationId xmlns:a16="http://schemas.microsoft.com/office/drawing/2014/main" id="{25AD4B1C-0C08-4E16-B419-D7E957253C9D}"/>
            </a:ext>
          </a:extLst>
        </xdr:cNvPr>
        <xdr:cNvSpPr>
          <a:spLocks noChangeAspect="1"/>
        </xdr:cNvSpPr>
      </xdr:nvSpPr>
      <xdr:spPr>
        <a:xfrm>
          <a:off x="9501188" y="581025"/>
          <a:ext cx="990600" cy="454025"/>
        </a:xfrm>
        <a:prstGeom prst="leftArrow">
          <a:avLst/>
        </a:prstGeom>
        <a:solidFill>
          <a:srgbClr val="203315"/>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a:latin typeface="Opella Sans" pitchFamily="2" charset="0"/>
              <a:cs typeface="Opella Sans" pitchFamily="2" charset="0"/>
            </a:rPr>
            <a:t>volver</a:t>
          </a:r>
        </a:p>
      </xdr:txBody>
    </xdr:sp>
    <xdr:clientData/>
  </xdr:twoCellAnchor>
  <xdr:twoCellAnchor editAs="oneCell">
    <xdr:from>
      <xdr:col>0</xdr:col>
      <xdr:colOff>0</xdr:colOff>
      <xdr:row>0</xdr:row>
      <xdr:rowOff>0</xdr:rowOff>
    </xdr:from>
    <xdr:to>
      <xdr:col>2</xdr:col>
      <xdr:colOff>809625</xdr:colOff>
      <xdr:row>1</xdr:row>
      <xdr:rowOff>71707</xdr:rowOff>
    </xdr:to>
    <xdr:pic>
      <xdr:nvPicPr>
        <xdr:cNvPr id="3" name="Graphic 2">
          <a:extLst>
            <a:ext uri="{FF2B5EF4-FFF2-40B4-BE49-F238E27FC236}">
              <a16:creationId xmlns:a16="http://schemas.microsoft.com/office/drawing/2014/main" id="{E300CABC-12B3-43EA-AA83-6701757E3FE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2571750" cy="6352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8</xdr:col>
      <xdr:colOff>471488</xdr:colOff>
      <xdr:row>1</xdr:row>
      <xdr:rowOff>63500</xdr:rowOff>
    </xdr:from>
    <xdr:to>
      <xdr:col>9</xdr:col>
      <xdr:colOff>182564</xdr:colOff>
      <xdr:row>3</xdr:row>
      <xdr:rowOff>165100</xdr:rowOff>
    </xdr:to>
    <xdr:sp macro="" textlink="">
      <xdr:nvSpPr>
        <xdr:cNvPr id="2" name="Flecha: hacia la izquierda 3">
          <a:hlinkClick xmlns:r="http://schemas.openxmlformats.org/officeDocument/2006/relationships" r:id="rId1"/>
          <a:extLst>
            <a:ext uri="{FF2B5EF4-FFF2-40B4-BE49-F238E27FC236}">
              <a16:creationId xmlns:a16="http://schemas.microsoft.com/office/drawing/2014/main" id="{C3495502-22C2-447B-BDEE-D74D9122EE50}"/>
            </a:ext>
          </a:extLst>
        </xdr:cNvPr>
        <xdr:cNvSpPr>
          <a:spLocks noChangeAspect="1"/>
        </xdr:cNvSpPr>
      </xdr:nvSpPr>
      <xdr:spPr>
        <a:xfrm>
          <a:off x="12052301" y="627063"/>
          <a:ext cx="989013" cy="450850"/>
        </a:xfrm>
        <a:prstGeom prst="leftArrow">
          <a:avLst/>
        </a:prstGeom>
        <a:solidFill>
          <a:srgbClr val="203315"/>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a:latin typeface="Opella Sans" pitchFamily="2" charset="0"/>
              <a:cs typeface="Opella Sans" pitchFamily="2" charset="0"/>
            </a:rPr>
            <a:t>volver</a:t>
          </a:r>
        </a:p>
      </xdr:txBody>
    </xdr:sp>
    <xdr:clientData/>
  </xdr:twoCellAnchor>
  <xdr:twoCellAnchor editAs="oneCell">
    <xdr:from>
      <xdr:col>0</xdr:col>
      <xdr:colOff>0</xdr:colOff>
      <xdr:row>0</xdr:row>
      <xdr:rowOff>0</xdr:rowOff>
    </xdr:from>
    <xdr:to>
      <xdr:col>2</xdr:col>
      <xdr:colOff>579437</xdr:colOff>
      <xdr:row>1</xdr:row>
      <xdr:rowOff>71707</xdr:rowOff>
    </xdr:to>
    <xdr:pic>
      <xdr:nvPicPr>
        <xdr:cNvPr id="3" name="Graphic 2">
          <a:extLst>
            <a:ext uri="{FF2B5EF4-FFF2-40B4-BE49-F238E27FC236}">
              <a16:creationId xmlns:a16="http://schemas.microsoft.com/office/drawing/2014/main" id="{EE479084-F258-43C2-8C29-522B4D2D2D2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2574925" cy="63685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101599</xdr:colOff>
      <xdr:row>1</xdr:row>
      <xdr:rowOff>71707</xdr:rowOff>
    </xdr:to>
    <xdr:pic>
      <xdr:nvPicPr>
        <xdr:cNvPr id="2" name="Graphic 1">
          <a:extLst>
            <a:ext uri="{FF2B5EF4-FFF2-40B4-BE49-F238E27FC236}">
              <a16:creationId xmlns:a16="http://schemas.microsoft.com/office/drawing/2014/main" id="{34D33738-2FC5-4257-8D83-A1E39C7400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2571750" cy="635270"/>
        </a:xfrm>
        <a:prstGeom prst="rect">
          <a:avLst/>
        </a:prstGeom>
      </xdr:spPr>
    </xdr:pic>
    <xdr:clientData/>
  </xdr:twoCellAnchor>
  <xdr:twoCellAnchor editAs="absolute">
    <xdr:from>
      <xdr:col>12</xdr:col>
      <xdr:colOff>607219</xdr:colOff>
      <xdr:row>1</xdr:row>
      <xdr:rowOff>103188</xdr:rowOff>
    </xdr:from>
    <xdr:to>
      <xdr:col>14</xdr:col>
      <xdr:colOff>115888</xdr:colOff>
      <xdr:row>2</xdr:row>
      <xdr:rowOff>328614</xdr:rowOff>
    </xdr:to>
    <xdr:sp macro="" textlink="">
      <xdr:nvSpPr>
        <xdr:cNvPr id="3" name="Flecha: hacia la izquierda 3">
          <a:hlinkClick xmlns:r="http://schemas.openxmlformats.org/officeDocument/2006/relationships" r:id="rId3"/>
          <a:extLst>
            <a:ext uri="{FF2B5EF4-FFF2-40B4-BE49-F238E27FC236}">
              <a16:creationId xmlns:a16="http://schemas.microsoft.com/office/drawing/2014/main" id="{3F8B9753-C6DD-4405-87E1-689AAD82412F}"/>
            </a:ext>
          </a:extLst>
        </xdr:cNvPr>
        <xdr:cNvSpPr>
          <a:spLocks noChangeAspect="1"/>
        </xdr:cNvSpPr>
      </xdr:nvSpPr>
      <xdr:spPr>
        <a:xfrm>
          <a:off x="10160001" y="666751"/>
          <a:ext cx="989013" cy="450850"/>
        </a:xfrm>
        <a:prstGeom prst="leftArrow">
          <a:avLst/>
        </a:prstGeom>
        <a:solidFill>
          <a:srgbClr val="203315"/>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a:latin typeface="Opella Sans" pitchFamily="2" charset="0"/>
              <a:cs typeface="Opella Sans" pitchFamily="2" charset="0"/>
            </a:rPr>
            <a:t>volver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iron Alonso" refreshedDate="45749.355712962963" createdVersion="8" refreshedVersion="6" minRefreshableVersion="3" recordCount="96" xr:uid="{00000000-000A-0000-FFFF-FFFF00000000}">
  <cacheSource type="worksheet">
    <worksheetSource name="Table2"/>
  </cacheSource>
  <cacheFields count="72">
    <cacheField name="Sales Org" numFmtId="0">
      <sharedItems containsNonDate="0" containsString="0" containsBlank="1"/>
    </cacheField>
    <cacheField name="Company Code" numFmtId="0">
      <sharedItems containsNonDate="0" containsString="0" containsBlank="1"/>
    </cacheField>
    <cacheField name="Canal" numFmtId="0">
      <sharedItems containsNonDate="0" containsBlank="1" count="4">
        <m/>
        <s v="Retail" u="1"/>
        <s v="Institucional" u="1"/>
        <s v="Other Wholesaler" u="1"/>
      </sharedItems>
    </cacheField>
    <cacheField name="Sold To Name" numFmtId="0">
      <sharedItems containsNonDate="0" containsString="0" containsBlank="1"/>
    </cacheField>
    <cacheField name="Sold To" numFmtId="0">
      <sharedItems containsNonDate="0" containsString="0" containsBlank="1"/>
    </cacheField>
    <cacheField name="Ship To" numFmtId="0">
      <sharedItems containsNonDate="0" containsString="0" containsBlank="1"/>
    </cacheField>
    <cacheField name="Ship To - City" numFmtId="0">
      <sharedItems containsNonDate="0" containsBlank="1" count="6">
        <m/>
        <s v="CORDOBA" u="1"/>
        <s v="BUCARAMANGA" u="1"/>
        <s v="CALI" u="1"/>
        <s v="BARRANQUILLA" u="1"/>
        <s v="BOGOTÁ, D.C." u="1"/>
      </sharedItems>
    </cacheField>
    <cacheField name="Ship To - Country" numFmtId="0">
      <sharedItems containsNonDate="0" containsString="0" containsBlank="1"/>
    </cacheField>
    <cacheField name="Document Type" numFmtId="0">
      <sharedItems containsNonDate="0" containsString="0" containsBlank="1"/>
    </cacheField>
    <cacheField name="Sales Document" numFmtId="0">
      <sharedItems containsNonDate="0" containsString="0" containsBlank="1" containsNumber="1" containsInteger="1" minValue="3257518" maxValue="3264210" count="5">
        <m/>
        <n v="3257518" u="1"/>
        <n v="3264209" u="1"/>
        <n v="3264208" u="1"/>
        <n v="3264210" u="1"/>
      </sharedItems>
    </cacheField>
    <cacheField name="Customer PO" numFmtId="0">
      <sharedItems containsNonDate="0" containsBlank="1" count="78">
        <m/>
        <s v="1022037" u="1"/>
        <s v="001M0885157101" u="1"/>
        <s v="1022038" u="1"/>
        <s v="1022039" u="1"/>
        <s v="9997160" u="1"/>
        <s v="1018467" u="1"/>
        <s v="8166453" u="1"/>
        <s v="8166454" u="1"/>
        <s v="1018469" u="1"/>
        <s v="001G0100228401" u="1"/>
        <s v="1019839" u="1"/>
        <s v="1021908" u="1"/>
        <s v="1021909" u="1"/>
        <s v="001M0885292501" u="1"/>
        <s v="1020640" u="1"/>
        <s v="1020641" u="1"/>
        <s v="9996230" u="1"/>
        <s v="8660023" u="1"/>
        <s v="001M0885052301" u="1"/>
        <s v="1022178" u="1"/>
        <s v="1022179" u="1"/>
        <s v="9998395" u="1"/>
        <s v="1016723" u="1"/>
        <s v="1016724" u="1"/>
        <s v="1016725" u="1"/>
        <s v="1016726" u="1"/>
        <s v="9996741" u="1"/>
        <s v="8166797" u="1"/>
        <s v="8169292" u="1"/>
        <s v="9996742" u="1"/>
        <s v="9996743" u="1"/>
        <s v="1018130" u="1"/>
        <s v="001G0100269501" u="1"/>
        <s v="1018131" u="1"/>
        <s v="8165759" u="1"/>
        <s v="1018132" u="1"/>
        <s v="1018133" u="1"/>
        <s v="8167241" u="1"/>
        <s v="9998986" u="1"/>
        <s v="9998987" u="1"/>
        <s v="1020638" u="1"/>
        <s v="1020912" u="1"/>
        <s v="1020639" u="1"/>
        <s v="1022040" u="1"/>
        <s v="1020913" u="1"/>
        <s v="001G0100314401" u="1"/>
        <s v="1020914" u="1"/>
        <s v="1020915" u="1"/>
        <s v="1018471" u="1"/>
        <s v="1018472" u="1"/>
        <s v="1019840" u="1"/>
        <s v="1019841" u="1"/>
        <s v="1019842" u="1"/>
        <s v="8166238" u="1"/>
        <s v="1021910" u="1"/>
        <s v="8166239" u="1"/>
        <s v="1021911" u="1"/>
        <s v="8167757" u="1"/>
        <s v="9997854" u="1"/>
        <s v="001M0884876901" u="1"/>
        <s v="9997855" u="1"/>
        <s v="1017864" u="1"/>
        <s v="1017865" u="1"/>
        <s v="1017866" u="1"/>
        <s v="1017867" u="1"/>
        <s v="001G0100353501" u="1"/>
        <s v="1022180" u="1"/>
        <s v="1018985" u="1"/>
        <s v="1022181" u="1"/>
        <s v="8167035" u="1"/>
        <s v="1018986" u="1"/>
        <s v="1018987" u="1"/>
        <s v="7470056" u="1"/>
        <s v="9995752" u="1"/>
        <s v="1018988" u="1"/>
        <s v="001M0884965701" u="1"/>
        <s v="8166826" u="1"/>
      </sharedItems>
    </cacheField>
    <cacheField name="Delivery Doc." numFmtId="0">
      <sharedItems containsNonDate="0" containsString="0" containsBlank="1"/>
    </cacheField>
    <cacheField name="Invoice Doc." numFmtId="1">
      <sharedItems containsNonDate="0" containsString="0" containsBlank="1"/>
    </cacheField>
    <cacheField name="Item" numFmtId="0">
      <sharedItems containsNonDate="0" containsString="0" containsBlank="1"/>
    </cacheField>
    <cacheField name="GMID" numFmtId="0">
      <sharedItems containsNonDate="0" containsString="0" containsBlank="1" containsNumber="1" containsInteger="1" minValue="661793" maxValue="884922" count="13">
        <m/>
        <n v="834614" u="1"/>
        <n v="884922" u="1"/>
        <n v="883012" u="1"/>
        <n v="880599" u="1"/>
        <n v="880600" u="1"/>
        <n v="757238" u="1"/>
        <n v="882346" u="1"/>
        <n v="877732" u="1"/>
        <n v="880574" u="1"/>
        <n v="661793" u="1"/>
        <n v="715505" u="1"/>
        <n v="877847" u="1"/>
      </sharedItems>
    </cacheField>
    <cacheField name="Description" numFmtId="0">
      <sharedItems containsNonDate="0" containsString="0" containsBlank="1"/>
    </cacheField>
    <cacheField name="Local Description" numFmtId="0">
      <sharedItems containsNonDate="0" containsBlank="1" count="46">
        <m/>
        <s v="MIGRINON CAJA X100 TAB REC" u="1"/>
        <s v="DULCOLAX 5MG TABSC BL20 M36 EX" u="1"/>
        <s v="ALLEGRA D 60mg CAJA X 10 TAB MX" u="1"/>
        <s v="NOVALGINA 1g INY AMP 2mlX10 IMP BR" u="1"/>
        <s v="ALLEGRA 120 MG CAJA X 2 (New Size)" u="1"/>
        <s v="DULCOLAX 112.5MG/+ DROP BT1 M24 CO" u="1"/>
        <s v="BUSCAPINA COMPO 10-325MG TABCO BL2X10 CO" u="1"/>
        <s v="ENTEROGERMINA 2BCFU/5ML SUSP BT10 M24 XL" u="1"/>
        <s v="BISOLVON PED JBE 4MG/5ML X 120ML" u="1"/>
        <s v="BISOLVON TS JBE 10MG/5ML X 120ML" u="1"/>
        <s v="ALLEGRA 120 MG CAJA X 10 TAB BR" u="1"/>
        <s v="CALMIDOL COMPUESTO X 6 CAPSULAS" u="1"/>
        <s v="BUSCAPINA DUO 10-500MG TABCO BL60 H AR" u="1"/>
        <s v="BUSCAPINA SOL INY 20MG/ML X 3 AMP" u="1"/>
        <s v="ENTEROGERMINA CAJA X 10 AMP BEB IT" u="1"/>
        <s v="ALLEGRA SUS 900mg X 150 mL BR OTC" u="1"/>
        <s v="ALLEGRA 120 MG COMP REC X 30 (OTC)" u="1"/>
        <s v="BUSCAMINT 181.6MG CAPSG BL12 M36 XL" u="1"/>
        <s v="BUSCAPINA COMP NF GTS 2+100MG/ML X 30 ML" u="1"/>
        <s v="GELICART 10G POWD SK30 XB" u="1"/>
        <s v="NOVALGINA 2.5g INY AMP 5mlX5 IMP BR" u="1"/>
        <s v="ENTEROGERMINA PLUS 4B" u="1"/>
        <s v="BUSCAPINA 10MG X 20 GRG" u="1"/>
        <s v="BUSCAPINA FEM 20+400MG X 90 COMP REC" u="1"/>
        <s v="ALLEGRA 180MG 1X10 CPR EXP" u="1"/>
        <s v="BUSCAPINA FEM 400-20MG TABCO BL3X10 AR" u="1"/>
        <s v="BUSCAPINA 10MG CAP BL5X10 M24 AR (PERLAS)" u="1"/>
        <s v="ENTEROGERMINA OFERTA CAJA X 20 AMP BEB IT" u="1"/>
        <s v="BUSCAPINA FEM 400-20MG TABCO BL6 M24 EX" u="1"/>
        <s v="BISOLVON MAX JBE 30MG/5ML X 120ML" u="1"/>
        <s v="NASACORT AQ 16.5 MG SOL NASAL X 1 FCO GB" u="1"/>
        <s v="NOVALGINA 500MG TAB BL3X10 AR" u="1"/>
        <s v="NOVALGINA 10G/100ML SYR BT1 AR" u="1"/>
        <s v="GELICART ACTION 20G POWD SC30 M24 XB" u="1"/>
        <s v="BUSCAPINA COMPOSI 10-325MG TABCO BL10 CO" u="1"/>
        <s v="CALMIDOL MAX CAJA X 6 TAB RECUBIERTAS" u="1"/>
        <s v="NOVALGINA 500mg CAJA X 50 TAB MX" u="1"/>
        <s v="ENTEROGERMINA 4BCFU/5ML SUSP 5 BOT IT" u="1"/>
        <s v="DULCOLAX 5MG TABSC BL10 M36 CO" u="1"/>
        <s v="DULCOLAX 5MG TABSC BL20 M36 CO" u="1"/>
        <s v="BUSCAPINA FEM 20+400MG X 6 COMP REC" u="1"/>
        <s v="CALMIDOL COMPUESTO X 48 CAPSULAS" u="1"/>
        <s v="PHARMATON ESSENTIAL CAPSG BT30 M24 XL" u="1"/>
        <s v="BUSCAPINA COMP 10-325MG TABCO BL10X10 CO" u="1"/>
        <s v="BUSCAPINA DUO 10-500MG TABCO BL100 H AR" u="1"/>
      </sharedItems>
    </cacheField>
    <cacheField name="Family" numFmtId="0">
      <sharedItems containsNonDate="0" containsString="0" containsBlank="1"/>
    </cacheField>
    <cacheField name="EAN Code" numFmtId="1">
      <sharedItems containsNonDate="0" containsString="0" containsBlank="1" containsNumber="1" containsInteger="1" minValue="3582910009900" maxValue="7795312100090" count="34">
        <m/>
        <n v="7795312100090" u="1"/>
        <n v="7591044007191" u="1"/>
        <n v="7703202221312" u="1"/>
        <n v="7591044008952" u="1"/>
        <n v="7702771001561" u="1"/>
        <n v="7703202221428" u="1"/>
        <n v="7703202221305" u="1"/>
        <n v="7703202221220" u="1"/>
        <n v="7706263200371" u="1"/>
        <n v="7703202221336" u="1"/>
        <n v="7703202221381" u="1"/>
        <n v="7591044009447" u="1"/>
        <n v="7706263200364" u="1"/>
        <n v="7703202221329" u="1"/>
        <n v="7501165007956" u="1"/>
        <n v="7703202003475" u="1"/>
        <n v="7703202221800" u="1"/>
        <n v="3664798066531" u="1"/>
        <n v="7703202010329" u="1"/>
        <n v="7703202221244" u="1"/>
        <n v="3582910009900" u="1"/>
        <n v="7591044401036" u="1"/>
        <n v="7703202221282" u="1"/>
        <n v="7703202221275" u="1"/>
        <n v="7703202221152" u="1"/>
        <n v="7501165010444" u="1"/>
        <n v="7591044009010" u="1"/>
        <n v="3664798064728" u="1"/>
        <n v="7703202221169" u="1"/>
        <n v="7703202221091" u="1"/>
        <n v="7703381002146" u="1"/>
        <n v="3664798071214" u="1"/>
        <n v="7706263200098" u="1"/>
      </sharedItems>
    </cacheField>
    <cacheField name="Sales Doc. Creation" numFmtId="14">
      <sharedItems containsNonDate="0" containsDate="1" containsString="0" containsBlank="1" minDate="2024-07-23T00:00:00" maxDate="2025-03-12T00:00:00" count="33">
        <m/>
        <d v="2024-08-22T00:00:00" u="1"/>
        <d v="2024-11-18T00:00:00" u="1"/>
        <d v="2024-09-01T00:00:00" u="1"/>
        <d v="2024-08-15T00:00:00" u="1"/>
        <d v="2024-10-25T00:00:00" u="1"/>
        <d v="2024-08-08T00:00:00" u="1"/>
        <d v="2024-08-01T00:00:00" u="1"/>
        <d v="2024-08-20T00:00:00" u="1"/>
        <d v="2024-10-11T00:00:00" u="1"/>
        <d v="2024-08-13T00:00:00" u="1"/>
        <d v="2024-08-06T00:00:00" u="1"/>
        <d v="2024-09-04T00:00:00" u="1"/>
        <d v="2024-09-23T00:00:00" u="1"/>
        <d v="2025-03-05T00:00:00" u="1"/>
        <d v="2024-10-28T00:00:00" u="1"/>
        <d v="2024-10-21T00:00:00" u="1"/>
        <d v="2024-08-23T00:00:00" u="1"/>
        <d v="2024-09-02T00:00:00" u="1"/>
        <d v="2024-08-16T00:00:00" u="1"/>
        <d v="2024-10-07T00:00:00" u="1"/>
        <d v="2024-07-30T00:00:00" u="1"/>
        <d v="2024-07-23T00:00:00" u="1"/>
        <d v="2024-08-21T00:00:00" u="1"/>
        <d v="2024-08-14T00:00:00" u="1"/>
        <d v="2024-09-05T00:00:00" u="1"/>
        <d v="2024-08-12T00:00:00" u="1"/>
        <d v="2024-11-08T00:00:00" u="1"/>
        <d v="2024-08-05T00:00:00" u="1"/>
        <d v="2024-11-01T00:00:00" u="1"/>
        <d v="2024-08-24T00:00:00" u="1"/>
        <d v="2025-03-11T00:00:00" u="1"/>
        <d v="2024-08-17T00:00:00" u="1"/>
      </sharedItems>
    </cacheField>
    <cacheField name="Days Sales order--&gt; Delivery" numFmtId="0">
      <sharedItems containsNonDate="0" containsString="0" containsBlank="1"/>
    </cacheField>
    <cacheField name="Delivery Creation" numFmtId="0">
      <sharedItems containsNonDate="0" containsString="0" containsBlank="1"/>
    </cacheField>
    <cacheField name="Days Delivery --&gt; Good Issue" numFmtId="0">
      <sharedItems containsNonDate="0" containsString="0" containsBlank="1"/>
    </cacheField>
    <cacheField name="Goods Issue" numFmtId="0">
      <sharedItems containsNonDate="0" containsString="0" containsBlank="1"/>
    </cacheField>
    <cacheField name="PGI" numFmtId="0">
      <sharedItems containsNonDate="0" containsString="0" containsBlank="1"/>
    </cacheField>
    <cacheField name="Days Good issue --&gt; Invoice" numFmtId="0">
      <sharedItems containsNonDate="0" containsString="0" containsBlank="1"/>
    </cacheField>
    <cacheField name="Invoice" numFmtId="0">
      <sharedItems containsNonDate="0" containsString="0" containsBlank="1"/>
    </cacheField>
    <cacheField name="POD" numFmtId="0">
      <sharedItems containsNonDate="0" containsString="0" containsBlank="1"/>
    </cacheField>
    <cacheField name="Req. Delivery" numFmtId="166">
      <sharedItems containsNonDate="0" containsString="0" containsBlank="1"/>
    </cacheField>
    <cacheField name="Arrange date of arrival" numFmtId="167">
      <sharedItems containsNonDate="0" containsString="0" containsBlank="1"/>
    </cacheField>
    <cacheField name="Delivery Block" numFmtId="0">
      <sharedItems containsNonDate="0" containsString="0" containsBlank="1"/>
    </cacheField>
    <cacheField name="Rejection Code" numFmtId="0">
      <sharedItems containsNonDate="0" containsString="0" containsBlank="1"/>
    </cacheField>
    <cacheField name="Rejection Reason" numFmtId="0">
      <sharedItems containsNonDate="0" containsString="0" containsBlank="1"/>
    </cacheField>
    <cacheField name="Type" numFmtId="0">
      <sharedItems containsNonDate="0" containsString="0" containsBlank="1"/>
    </cacheField>
    <cacheField name="Ordered" numFmtId="3">
      <sharedItems containsNonDate="0" containsString="0" containsBlank="1"/>
    </cacheField>
    <cacheField name="Invoiced" numFmtId="3">
      <sharedItems containsNonDate="0" containsString="0" containsBlank="1" containsNumber="1" containsInteger="1" minValue="0" maxValue="2816" count="52">
        <m/>
        <n v="0" u="1"/>
        <n v="1060" u="1"/>
        <n v="3" u="1"/>
        <n v="350" u="1"/>
        <n v="1040" u="1"/>
        <n v="140" u="1"/>
        <n v="1024" u="1"/>
        <n v="120" u="1"/>
        <n v="80" u="1"/>
        <n v="66" u="1"/>
        <n v="910" u="1"/>
        <n v="2520" u="1"/>
        <n v="800" u="1"/>
        <n v="216" u="1"/>
        <n v="2496" u="1"/>
        <n v="896" u="1"/>
        <n v="240" u="1"/>
        <n v="12" u="1"/>
        <n v="2" u="1"/>
        <n v="432" u="1"/>
        <n v="210" u="1"/>
        <n v="2816" u="1"/>
        <n v="768" u="1"/>
        <n v="480" u="1"/>
        <n v="320" u="1"/>
        <n v="980" u="1"/>
        <n v="36" u="1"/>
        <n v="4" u="1"/>
        <n v="864" u="1"/>
        <n v="648" u="1"/>
        <n v="860" u="1"/>
        <n v="126" u="1"/>
        <n v="150" u="1"/>
        <n v="2304" u="1"/>
        <n v="960" u="1"/>
        <n v="640" u="1"/>
        <n v="256" u="1"/>
        <n v="72" u="1"/>
        <n v="20" u="1"/>
        <n v="8" u="1"/>
        <n v="1728" u="1"/>
        <n v="200" u="1"/>
        <n v="1512" u="1"/>
        <n v="84" u="1"/>
        <n v="54" u="1"/>
        <n v="840" u="1"/>
        <n v="1080" u="1"/>
        <n v="70" u="1"/>
        <n v="832" u="1"/>
        <n v="60" u="1"/>
        <n v="40" u="1"/>
      </sharedItems>
    </cacheField>
    <cacheField name="Invoiced - BO Retaken" numFmtId="0">
      <sharedItems containsNonDate="0" containsString="0" containsBlank="1"/>
    </cacheField>
    <cacheField name="Invoiced in advance" numFmtId="3">
      <sharedItems containsNonDate="0" containsString="0" containsBlank="1"/>
    </cacheField>
    <cacheField name="Delivered" numFmtId="3">
      <sharedItems containsNonDate="0" containsString="0" containsBlank="1"/>
    </cacheField>
    <cacheField name="To be processed" numFmtId="3">
      <sharedItems containsNonDate="0" containsString="0" containsBlank="1"/>
    </cacheField>
    <cacheField name="To be delivered" numFmtId="3">
      <sharedItems containsNonDate="0" containsString="0" containsBlank="1"/>
    </cacheField>
    <cacheField name="Picking" numFmtId="3">
      <sharedItems containsNonDate="0" containsString="0" containsBlank="1"/>
    </cacheField>
    <cacheField name="Backorder" numFmtId="3">
      <sharedItems containsNonDate="0" containsString="0" containsBlank="1"/>
    </cacheField>
    <cacheField name="Rupture" numFmtId="3">
      <sharedItems containsNonDate="0" containsString="0" containsBlank="1"/>
    </cacheField>
    <cacheField name="Reorder" numFmtId="3">
      <sharedItems containsNonDate="0" containsString="0" containsBlank="1"/>
    </cacheField>
    <cacheField name="Stock Allocation" numFmtId="3">
      <sharedItems containsNonDate="0" containsString="0" containsBlank="1"/>
    </cacheField>
    <cacheField name="Oversales" numFmtId="3">
      <sharedItems containsNonDate="0" containsString="0" containsBlank="1"/>
    </cacheField>
    <cacheField name="Discontinued" numFmtId="3">
      <sharedItems containsNonDate="0" containsString="0" containsBlank="1"/>
    </cacheField>
    <cacheField name="Others RR" numFmtId="3">
      <sharedItems containsNonDate="0" containsString="0" containsBlank="1"/>
    </cacheField>
    <cacheField name="Credit Limit" numFmtId="3">
      <sharedItems containsNonDate="0" containsString="0" containsBlank="1"/>
    </cacheField>
    <cacheField name="Returns" numFmtId="3">
      <sharedItems containsNonDate="0" containsString="0" containsBlank="1"/>
    </cacheField>
    <cacheField name="Without RR" numFmtId="0">
      <sharedItems containsNonDate="0" containsString="0" containsBlank="1"/>
    </cacheField>
    <cacheField name="FR No RR Assigned" numFmtId="3">
      <sharedItems containsNonDate="0" containsString="0" containsBlank="1"/>
    </cacheField>
    <cacheField name="FR Ordered excluding" numFmtId="0">
      <sharedItems containsNonDate="0" containsString="0" containsBlank="1"/>
    </cacheField>
    <cacheField name="FR Ordered wo excluding" numFmtId="0">
      <sharedItems containsNonDate="0" containsString="0" containsBlank="1"/>
    </cacheField>
    <cacheField name="Invoice Sales" numFmtId="0">
      <sharedItems containsNonDate="0" containsString="0" containsBlank="1"/>
    </cacheField>
    <cacheField name="Masterpack" numFmtId="1">
      <sharedItems containsNonDate="0" containsString="0" containsBlank="1"/>
    </cacheField>
    <cacheField name="Column10" numFmtId="1">
      <sharedItems containsNonDate="0" containsString="0" containsBlank="1"/>
    </cacheField>
    <cacheField name="Column9" numFmtId="1">
      <sharedItems containsNonDate="0" containsString="0" containsBlank="1"/>
    </cacheField>
    <cacheField name="Column8" numFmtId="1">
      <sharedItems containsNonDate="0" containsString="0" containsBlank="1"/>
    </cacheField>
    <cacheField name="Column7" numFmtId="1">
      <sharedItems containsNonDate="0" containsString="0" containsBlank="1"/>
    </cacheField>
    <cacheField name="Column6" numFmtId="1">
      <sharedItems containsNonDate="0" containsString="0" containsBlank="1"/>
    </cacheField>
    <cacheField name="Column5" numFmtId="1">
      <sharedItems containsNonDate="0" containsString="0" containsBlank="1"/>
    </cacheField>
    <cacheField name="Column4" numFmtId="1">
      <sharedItems containsNonDate="0" containsString="0" containsBlank="1"/>
    </cacheField>
    <cacheField name="Column3" numFmtId="1">
      <sharedItems containsNonDate="0" containsString="0" containsBlank="1"/>
    </cacheField>
    <cacheField name="Column2" numFmtId="1">
      <sharedItems containsNonDate="0" containsString="0" containsBlank="1"/>
    </cacheField>
    <cacheField name="Column1" numFmtId="1">
      <sharedItems containsNonDate="0" containsString="0" containsBlank="1"/>
    </cacheField>
    <cacheField name="Status" numFmtId="0">
      <sharedItems containsNonDate="0" containsBlank="1" count="7">
        <m/>
        <s v="Descontinuado" u="1"/>
        <s v="Backorder" u="1"/>
        <s v="Ruptura" u="1"/>
        <s v="In Full" u="1"/>
        <s v="Fuera de Masterpack" u="1"/>
        <s v="Diferencia de Precio" u="1"/>
      </sharedItems>
    </cacheField>
    <cacheField name="KeyPLU" numFmtId="3">
      <sharedItems containsNonDate="0" containsString="0" containsBlank="1"/>
    </cacheField>
    <cacheField name="PLU" numFmtId="0">
      <sharedItems containsNonDate="0" containsString="0" containsBlank="1" containsNumber="1" containsInteger="1" minValue="11729" maxValue="298200477" count="84">
        <m/>
        <n v="1267481" u="1"/>
        <n v="298200477" u="1"/>
        <n v="101029133" u="1"/>
        <n v="1261915" u="1"/>
        <n v="101001237" u="1"/>
        <n v="101050624" u="1"/>
        <n v="68585" u="1"/>
        <n v="101034420" u="1"/>
        <n v="101032440" u="1"/>
        <n v="1268666" u="1"/>
        <n v="1270904" u="1"/>
        <n v="1270905" u="1"/>
        <n v="22878" u="1"/>
        <n v="101021452" u="1"/>
        <n v="11731" u="1"/>
        <n v="47409" u="1"/>
        <n v="101002374" u="1"/>
        <n v="101055908" u="1"/>
        <n v="1087419" u="1"/>
        <n v="101003692" u="1"/>
        <n v="15129" u="1"/>
        <n v="1289603" u="1"/>
        <n v="156006" u="1"/>
        <n v="334003" u="1"/>
        <n v="50348" u="1"/>
        <n v="23893" u="1"/>
        <n v="101003509" u="1"/>
        <n v="55442" u="1"/>
        <n v="928520" u="1"/>
        <n v="47598" u="1"/>
        <n v="100904" u="1"/>
        <n v="26120" u="1"/>
        <n v="101060964" u="1"/>
        <n v="1166205" u="1"/>
        <n v="1166206" u="1"/>
        <n v="1269901" u="1"/>
        <n v="391926" u="1"/>
        <n v="110323" u="1"/>
        <n v="101048039" u="1"/>
        <n v="100905" u="1"/>
        <n v="11729" u="1"/>
        <n v="13221" u="1"/>
        <n v="84797" u="1"/>
        <n v="11732" u="1"/>
        <n v="15124" u="1"/>
        <n v="295750490" u="1"/>
        <n v="21977" u="1"/>
        <n v="101001238" u="1"/>
        <n v="118952" u="1"/>
        <n v="1260643" u="1"/>
        <n v="120771" u="1"/>
        <n v="58826" u="1"/>
        <n v="1271095" u="1"/>
        <n v="101045579" u="1"/>
        <n v="1165164" u="1"/>
        <n v="1271096" u="1"/>
        <n v="372646" u="1"/>
        <n v="120610" u="1"/>
        <n v="1266274" u="1"/>
        <n v="101002375" u="1"/>
        <n v="1258820" u="1"/>
        <n v="1297614" u="1"/>
        <n v="101021284" u="1"/>
        <n v="356801" u="1"/>
        <n v="25854" u="1"/>
        <n v="101024888" u="1"/>
        <n v="214600191" u="1"/>
        <n v="101054403" u="1"/>
        <n v="25860" u="1"/>
        <n v="1276014" u="1"/>
        <n v="101000079" u="1"/>
        <n v="25528" u="1"/>
        <n v="1261846" u="1"/>
        <n v="11733" u="1"/>
        <n v="1167480" u="1"/>
        <n v="1262222" u="1"/>
        <n v="934211" u="1"/>
        <n v="1271562" u="1"/>
        <n v="1284625" u="1"/>
        <n v="101000230" u="1"/>
        <n v="101000766" u="1"/>
        <n v="101048038" u="1"/>
        <n v="101060965" u="1"/>
      </sharedItems>
    </cacheField>
    <cacheField name="Fullbox" numFmtId="0">
      <sharedItems containsNonDate="0" containsString="0" containsBlank="1"/>
    </cacheField>
    <cacheField name="Sin Despacho" numFmtId="1">
      <sharedItems containsNonDate="0" containsString="0" containsBlank="1"/>
    </cacheField>
  </cacheFields>
  <extLst>
    <ext xmlns:x14="http://schemas.microsoft.com/office/spreadsheetml/2009/9/main" uri="{725AE2AE-9491-48be-B2B4-4EB974FC3084}">
      <x14:pivotCacheDefinition pivotCacheId="80174994"/>
    </ext>
  </extLst>
</pivotCacheDefinition>
</file>

<file path=xl/pivotCache/pivotCacheRecords1.xml><?xml version="1.0" encoding="utf-8"?>
<pivotCacheRecords xmlns="http://schemas.openxmlformats.org/spreadsheetml/2006/main" xmlns:r="http://schemas.openxmlformats.org/officeDocument/2006/relationships" count="96">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r>
    <m/>
    <m/>
    <x v="0"/>
    <m/>
    <m/>
    <m/>
    <x v="0"/>
    <m/>
    <m/>
    <x v="0"/>
    <x v="0"/>
    <m/>
    <m/>
    <m/>
    <x v="0"/>
    <m/>
    <x v="0"/>
    <m/>
    <x v="0"/>
    <x v="0"/>
    <m/>
    <m/>
    <m/>
    <m/>
    <m/>
    <m/>
    <m/>
    <m/>
    <m/>
    <m/>
    <m/>
    <m/>
    <m/>
    <m/>
    <m/>
    <x v="0"/>
    <m/>
    <m/>
    <m/>
    <m/>
    <m/>
    <m/>
    <m/>
    <m/>
    <m/>
    <m/>
    <m/>
    <m/>
    <m/>
    <m/>
    <m/>
    <m/>
    <m/>
    <m/>
    <m/>
    <m/>
    <m/>
    <m/>
    <m/>
    <m/>
    <m/>
    <m/>
    <m/>
    <m/>
    <m/>
    <m/>
    <m/>
    <x v="0"/>
    <m/>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FillRate" cacheId="0" applyNumberFormats="0" applyBorderFormats="0" applyFontFormats="0" applyPatternFormats="0" applyAlignmentFormats="0" applyWidthHeightFormats="1" dataCaption="Valores" updatedVersion="6" minRefreshableVersion="3" itemPrintTitles="1" createdVersion="7" indent="0" compact="0" compactData="0" gridDropZones="1" multipleFieldFilters="0">
  <location ref="E15:H17" firstHeaderRow="1" firstDataRow="2" firstDataCol="1"/>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6">
        <item m="1" x="4"/>
        <item m="1" x="5"/>
        <item m="1" x="2"/>
        <item m="1" x="3"/>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5">
        <item m="1" x="1"/>
        <item m="1" x="3"/>
        <item m="1" x="2"/>
        <item m="1" x="4"/>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items count="33">
        <item m="1" x="22"/>
        <item m="1" x="21"/>
        <item m="1" x="7"/>
        <item m="1" x="28"/>
        <item m="1" x="11"/>
        <item m="1" x="6"/>
        <item m="1" x="26"/>
        <item m="1" x="10"/>
        <item m="1" x="24"/>
        <item m="1" x="4"/>
        <item m="1" x="19"/>
        <item m="1" x="32"/>
        <item m="1" x="8"/>
        <item m="1" x="23"/>
        <item m="1" x="1"/>
        <item m="1" x="17"/>
        <item m="1" x="30"/>
        <item m="1" x="3"/>
        <item m="1" x="18"/>
        <item m="1" x="12"/>
        <item m="1" x="25"/>
        <item m="1" x="13"/>
        <item m="1" x="20"/>
        <item m="1" x="9"/>
        <item m="1" x="16"/>
        <item m="1" x="5"/>
        <item m="1" x="15"/>
        <item m="1" x="29"/>
        <item m="1" x="27"/>
        <item m="1" x="2"/>
        <item m="1" x="14"/>
        <item m="1" x="3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7">
        <item m="1" x="2"/>
        <item m="1" x="1"/>
        <item m="1" x="4"/>
        <item m="1" x="6"/>
        <item m="1" x="5"/>
        <item x="0"/>
        <item m="1"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s>
  <rowItems count="1">
    <i/>
  </rowItems>
  <colFields count="1">
    <field x="-2"/>
  </colFields>
  <colItems count="3">
    <i>
      <x/>
    </i>
    <i i="1">
      <x v="1"/>
    </i>
    <i i="2">
      <x v="2"/>
    </i>
  </colItems>
  <dataFields count="3">
    <dataField name="Ordenado" fld="34" baseField="0" baseItem="0"/>
    <dataField name="Facturado" fld="35" baseField="0" baseItem="0"/>
    <dataField name="No Despachado" fld="71" baseField="0" baseItem="0"/>
  </dataFields>
  <formats count="21">
    <format dxfId="269">
      <pivotArea outline="0" collapsedLevelsAreSubtotals="1" fieldPosition="0"/>
    </format>
    <format dxfId="268">
      <pivotArea type="all" dataOnly="0" outline="0" fieldPosition="0"/>
    </format>
    <format dxfId="267">
      <pivotArea outline="0" collapsedLevelsAreSubtotals="1" fieldPosition="0"/>
    </format>
    <format dxfId="266">
      <pivotArea type="origin" dataOnly="0" labelOnly="1" outline="0" fieldPosition="0"/>
    </format>
    <format dxfId="265">
      <pivotArea field="-2" type="button" dataOnly="0" labelOnly="1" outline="0" axis="axisCol" fieldPosition="0"/>
    </format>
    <format dxfId="264">
      <pivotArea type="topRight" dataOnly="0" labelOnly="1" outline="0" fieldPosition="0"/>
    </format>
    <format dxfId="263">
      <pivotArea field="67" type="button" dataOnly="0" labelOnly="1" outline="0"/>
    </format>
    <format dxfId="262">
      <pivotArea dataOnly="0" labelOnly="1" grandRow="1" outline="0" fieldPosition="0"/>
    </format>
    <format dxfId="261">
      <pivotArea field="67" type="button" dataOnly="0" labelOnly="1" outline="0"/>
    </format>
    <format dxfId="260">
      <pivotArea field="-2" type="button" dataOnly="0" labelOnly="1" outline="0" axis="axisCol" fieldPosition="0"/>
    </format>
    <format dxfId="259">
      <pivotArea type="all" dataOnly="0" outline="0" fieldPosition="0"/>
    </format>
    <format dxfId="258">
      <pivotArea outline="0" collapsedLevelsAreSubtotals="1" fieldPosition="0"/>
    </format>
    <format dxfId="257">
      <pivotArea type="origin" dataOnly="0" labelOnly="1" outline="0" fieldPosition="0"/>
    </format>
    <format dxfId="256">
      <pivotArea field="-2" type="button" dataOnly="0" labelOnly="1" outline="0" axis="axisCol" fieldPosition="0"/>
    </format>
    <format dxfId="255">
      <pivotArea type="topRight" dataOnly="0" labelOnly="1" outline="0" fieldPosition="0"/>
    </format>
    <format dxfId="254">
      <pivotArea field="67" type="button" dataOnly="0" labelOnly="1" outline="0"/>
    </format>
    <format dxfId="253">
      <pivotArea dataOnly="0" labelOnly="1" grandRow="1" outline="0" fieldPosition="0"/>
    </format>
    <format dxfId="252">
      <pivotArea outline="0" collapsedLevelsAreSubtotals="1" fieldPosition="0"/>
    </format>
    <format dxfId="251">
      <pivotArea field="-2" type="button" dataOnly="0" labelOnly="1" outline="0" axis="axisCol" fieldPosition="0"/>
    </format>
    <format dxfId="250">
      <pivotArea type="topRight" dataOnly="0" labelOnly="1" outline="0" fieldPosition="0"/>
    </format>
    <format dxfId="249">
      <pivotArea dataOnly="0" labelOnly="1" outline="0" fieldPosition="0">
        <references count="1">
          <reference field="4294967294" count="3">
            <x v="0"/>
            <x v="1"/>
            <x v="2"/>
          </reference>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SinNovedad" cacheId="0" applyNumberFormats="0" applyBorderFormats="0" applyFontFormats="0" applyPatternFormats="0" applyAlignmentFormats="0" applyWidthHeightFormats="1" dataCaption="Valores" updatedVersion="8" minRefreshableVersion="3" itemPrintTitles="1" createdVersion="7" indent="0" compact="0" compactData="0" gridDropZones="1" multipleFieldFilters="0">
  <location ref="B5:G7" firstHeaderRow="2" firstDataRow="2" firstDataCol="5" rowPageCount="1" colPageCount="1"/>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4">
        <item m="1" x="2"/>
        <item m="1" x="1"/>
        <item x="0"/>
        <item m="1"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6">
        <item m="1" x="4"/>
        <item m="1" x="5"/>
        <item m="1" x="2"/>
        <item m="1" x="3"/>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Pedido" axis="axisRow" compact="0" outline="0" subtotalTop="0" showAll="0" defaultSubtotal="0">
      <items count="5">
        <item x="0"/>
        <item m="1" x="3"/>
        <item m="1" x="1"/>
        <item m="1" x="2"/>
        <item m="1" x="4"/>
      </items>
      <extLst>
        <ext xmlns:x14="http://schemas.microsoft.com/office/spreadsheetml/2009/9/main" uri="{2946ED86-A175-432a-8AC1-64E0C546D7DE}">
          <x14:pivotField fillDownLabels="1"/>
        </ext>
      </extLst>
    </pivotField>
    <pivotField name="Orden de Compra" axis="axisRow" compact="0" outline="0" subtotalTop="0" showAll="0" defaultSubtotal="0">
      <items count="78">
        <item m="1" x="10"/>
        <item m="1" x="33"/>
        <item m="1" x="46"/>
        <item m="1" x="66"/>
        <item m="1" x="60"/>
        <item m="1" x="76"/>
        <item m="1" x="19"/>
        <item m="1" x="2"/>
        <item m="1" x="14"/>
        <item m="1" x="23"/>
        <item m="1" x="24"/>
        <item m="1" x="25"/>
        <item m="1" x="26"/>
        <item m="1" x="62"/>
        <item m="1" x="63"/>
        <item m="1" x="64"/>
        <item m="1" x="65"/>
        <item m="1" x="32"/>
        <item m="1" x="34"/>
        <item m="1" x="36"/>
        <item m="1" x="37"/>
        <item m="1" x="6"/>
        <item m="1" x="9"/>
        <item m="1" x="49"/>
        <item m="1" x="50"/>
        <item m="1" x="68"/>
        <item m="1" x="71"/>
        <item m="1" x="72"/>
        <item m="1" x="75"/>
        <item m="1" x="11"/>
        <item m="1" x="51"/>
        <item m="1" x="52"/>
        <item m="1" x="53"/>
        <item m="1" x="41"/>
        <item m="1" x="43"/>
        <item m="1" x="15"/>
        <item m="1" x="16"/>
        <item m="1" x="42"/>
        <item m="1" x="45"/>
        <item m="1" x="47"/>
        <item m="1" x="48"/>
        <item m="1" x="12"/>
        <item m="1" x="13"/>
        <item m="1" x="55"/>
        <item m="1" x="57"/>
        <item m="1" x="1"/>
        <item m="1" x="3"/>
        <item m="1" x="4"/>
        <item m="1" x="44"/>
        <item m="1" x="20"/>
        <item m="1" x="21"/>
        <item m="1" x="67"/>
        <item m="1" x="69"/>
        <item m="1" x="73"/>
        <item m="1" x="35"/>
        <item m="1" x="54"/>
        <item m="1" x="56"/>
        <item m="1" x="7"/>
        <item m="1" x="8"/>
        <item m="1" x="28"/>
        <item m="1" x="77"/>
        <item m="1" x="70"/>
        <item m="1" x="38"/>
        <item m="1" x="58"/>
        <item m="1" x="29"/>
        <item m="1" x="74"/>
        <item m="1" x="17"/>
        <item m="1" x="27"/>
        <item m="1" x="30"/>
        <item m="1" x="5"/>
        <item m="1" x="18"/>
        <item m="1" x="31"/>
        <item m="1" x="22"/>
        <item m="1" x="61"/>
        <item m="1" x="59"/>
        <item m="1" x="40"/>
        <item m="1" x="39"/>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3">
        <item x="0"/>
        <item m="1" x="10"/>
        <item m="1" x="8"/>
        <item m="1" x="12"/>
        <item m="1" x="5"/>
        <item m="1" x="3"/>
        <item m="1" x="2"/>
        <item m="1" x="11"/>
        <item m="1" x="6"/>
        <item m="1" x="4"/>
        <item m="1" x="7"/>
        <item m="1" x="9"/>
        <item m="1" x="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46">
        <item m="1" x="11"/>
        <item m="1" x="25"/>
        <item m="1" x="3"/>
        <item m="1" x="16"/>
        <item m="1" x="30"/>
        <item m="1" x="9"/>
        <item m="1" x="10"/>
        <item m="1" x="18"/>
        <item m="1" x="23"/>
        <item m="1" x="44"/>
        <item m="1" x="19"/>
        <item m="1" x="7"/>
        <item m="1" x="35"/>
        <item m="1" x="41"/>
        <item m="1" x="24"/>
        <item m="1" x="14"/>
        <item m="1" x="42"/>
        <item m="1" x="12"/>
        <item m="1" x="36"/>
        <item m="1" x="6"/>
        <item m="1" x="39"/>
        <item m="1" x="40"/>
        <item m="1" x="38"/>
        <item m="1" x="15"/>
        <item m="1" x="28"/>
        <item m="1" x="20"/>
        <item m="1" x="34"/>
        <item m="1" x="1"/>
        <item m="1" x="31"/>
        <item m="1" x="4"/>
        <item m="1" x="21"/>
        <item m="1" x="37"/>
        <item m="1" x="5"/>
        <item x="0"/>
        <item m="1" x="26"/>
        <item m="1" x="8"/>
        <item m="1" x="22"/>
        <item m="1" x="45"/>
        <item m="1" x="43"/>
        <item m="1" x="27"/>
        <item m="1" x="2"/>
        <item m="1" x="32"/>
        <item m="1" x="13"/>
        <item m="1" x="29"/>
        <item m="1" x="33"/>
        <item m="1" x="1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EAN" axis="axisRow" compact="0" outline="0" subtotalTop="0" showAll="0" defaultSubtotal="0">
      <items count="34">
        <item m="1" x="26"/>
        <item m="1" x="2"/>
        <item m="1" x="12"/>
        <item m="1" x="22"/>
        <item m="1" x="15"/>
        <item m="1" x="5"/>
        <item m="1" x="21"/>
        <item m="1" x="31"/>
        <item m="1" x="25"/>
        <item m="1" x="29"/>
        <item m="1" x="33"/>
        <item m="1" x="23"/>
        <item m="1" x="24"/>
        <item m="1" x="7"/>
        <item m="1" x="30"/>
        <item m="1" x="20"/>
        <item m="1" x="11"/>
        <item m="1" x="6"/>
        <item m="1" x="8"/>
        <item m="1" x="1"/>
        <item m="1" x="19"/>
        <item m="1" x="27"/>
        <item m="1" x="4"/>
        <item m="1" x="13"/>
        <item m="1" x="10"/>
        <item m="1" x="14"/>
        <item m="1" x="9"/>
        <item m="1" x="3"/>
        <item m="1" x="16"/>
        <item m="1" x="17"/>
        <item m="1" x="28"/>
        <item m="1" x="32"/>
        <item m="1" x="18"/>
        <item x="0"/>
      </items>
      <extLst>
        <ext xmlns:x14="http://schemas.microsoft.com/office/spreadsheetml/2009/9/main" uri="{2946ED86-A175-432a-8AC1-64E0C546D7DE}">
          <x14:pivotField fillDownLabels="1"/>
        </ext>
      </extLst>
    </pivotField>
    <pivotField compact="0" numFmtId="14" outline="0" subtotalTop="0" showAll="0" defaultSubtotal="0">
      <items count="33">
        <item m="1" x="22"/>
        <item m="1" x="21"/>
        <item m="1" x="7"/>
        <item m="1" x="28"/>
        <item m="1" x="11"/>
        <item m="1" x="6"/>
        <item m="1" x="26"/>
        <item m="1" x="10"/>
        <item m="1" x="24"/>
        <item m="1" x="4"/>
        <item m="1" x="19"/>
        <item m="1" x="32"/>
        <item m="1" x="8"/>
        <item m="1" x="23"/>
        <item m="1" x="1"/>
        <item m="1" x="17"/>
        <item m="1" x="30"/>
        <item m="1" x="3"/>
        <item m="1" x="18"/>
        <item m="1" x="12"/>
        <item m="1" x="25"/>
        <item m="1" x="13"/>
        <item m="1" x="20"/>
        <item m="1" x="9"/>
        <item m="1" x="16"/>
        <item m="1" x="5"/>
        <item m="1" x="15"/>
        <item m="1" x="29"/>
        <item m="1" x="27"/>
        <item m="1" x="2"/>
        <item m="1" x="14"/>
        <item m="1" x="3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dataField="1" compact="0" outline="0" subtotalTop="0" multipleItemSelectionAllowed="1" showAll="0" defaultSubtotal="0">
      <items count="52">
        <item h="1" m="1" x="1"/>
        <item m="1" x="27"/>
        <item m="1" x="50"/>
        <item m="1" x="10"/>
        <item m="1" x="48"/>
        <item m="1" x="38"/>
        <item m="1" x="9"/>
        <item m="1" x="8"/>
        <item m="1" x="6"/>
        <item m="1" x="33"/>
        <item m="1" x="42"/>
        <item m="1" x="14"/>
        <item m="1" x="17"/>
        <item m="1" x="37"/>
        <item m="1" x="25"/>
        <item m="1" x="4"/>
        <item m="1" x="20"/>
        <item m="1" x="24"/>
        <item m="1" x="36"/>
        <item m="1" x="30"/>
        <item m="1" x="23"/>
        <item m="1" x="13"/>
        <item m="1" x="49"/>
        <item m="1" x="31"/>
        <item m="1" x="16"/>
        <item m="1" x="35"/>
        <item m="1" x="26"/>
        <item m="1" x="7"/>
        <item m="1" x="5"/>
        <item m="1" x="2"/>
        <item m="1" x="47"/>
        <item m="1" x="43"/>
        <item m="1" x="41"/>
        <item m="1" x="11"/>
        <item m="1" x="18"/>
        <item m="1" x="15"/>
        <item m="1" x="32"/>
        <item m="1" x="46"/>
        <item m="1" x="34"/>
        <item m="1" x="45"/>
        <item m="1" x="29"/>
        <item m="1" x="21"/>
        <item m="1" x="12"/>
        <item m="1" x="22"/>
        <item m="1" x="44"/>
        <item h="1" x="0"/>
        <item m="1" x="3"/>
        <item m="1" x="19"/>
        <item m="1" x="51"/>
        <item m="1" x="39"/>
        <item m="1" x="28"/>
        <item m="1" x="4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multipleItemSelectionAllowed="1"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multipleItemSelectionAllowed="1" showAll="0" defaultSubtotal="0">
      <items count="7">
        <item m="1" x="2"/>
        <item m="1" x="1"/>
        <item m="1" x="4"/>
        <item h="1" m="1" x="6"/>
        <item h="1" m="1" x="5"/>
        <item h="1" x="0"/>
        <item h="1" m="1"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84">
        <item m="1" x="49"/>
        <item m="1" x="45"/>
        <item m="1" x="21"/>
        <item m="1" x="72"/>
        <item m="1" x="43"/>
        <item m="1" x="26"/>
        <item m="1" x="38"/>
        <item m="1" x="16"/>
        <item m="1" x="52"/>
        <item m="1" x="42"/>
        <item m="1" x="58"/>
        <item m="1" x="30"/>
        <item m="1" x="44"/>
        <item m="1" x="47"/>
        <item m="1" x="41"/>
        <item m="1" x="31"/>
        <item m="1" x="40"/>
        <item m="1" x="32"/>
        <item m="1" x="7"/>
        <item m="1" x="69"/>
        <item m="1" x="65"/>
        <item m="1" x="13"/>
        <item m="1" x="25"/>
        <item m="1" x="15"/>
        <item m="1" x="74"/>
        <item m="1" x="51"/>
        <item m="1" x="33"/>
        <item m="1" x="60"/>
        <item m="1" x="54"/>
        <item m="1" x="27"/>
        <item m="1" x="9"/>
        <item m="1" x="83"/>
        <item m="1" x="8"/>
        <item m="1" x="39"/>
        <item m="1" x="3"/>
        <item m="1" x="18"/>
        <item m="1" x="17"/>
        <item m="1" x="81"/>
        <item m="1" x="20"/>
        <item m="1" x="6"/>
        <item m="1" x="5"/>
        <item m="1" x="66"/>
        <item m="1" x="14"/>
        <item m="1" x="71"/>
        <item m="1" x="80"/>
        <item m="1" x="68"/>
        <item m="1" x="63"/>
        <item m="1" x="82"/>
        <item m="1" x="48"/>
        <item m="1" x="46"/>
        <item m="1" x="2"/>
        <item m="1" x="23"/>
        <item m="1" x="22"/>
        <item m="1" x="35"/>
        <item m="1" x="78"/>
        <item m="1" x="37"/>
        <item m="1" x="55"/>
        <item m="1" x="11"/>
        <item m="1" x="70"/>
        <item m="1" x="73"/>
        <item m="1" x="1"/>
        <item m="1" x="12"/>
        <item m="1" x="4"/>
        <item m="1" x="50"/>
        <item m="1" x="79"/>
        <item m="1" x="34"/>
        <item m="1" x="62"/>
        <item m="1" x="76"/>
        <item m="1" x="28"/>
        <item m="1" x="59"/>
        <item m="1" x="10"/>
        <item m="1" x="36"/>
        <item m="1" x="53"/>
        <item m="1" x="24"/>
        <item m="1" x="64"/>
        <item m="1" x="57"/>
        <item m="1" x="77"/>
        <item m="1" x="19"/>
        <item m="1" x="75"/>
        <item m="1" x="61"/>
        <item m="1" x="29"/>
        <item m="1" x="56"/>
        <item m="1" x="67"/>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s>
  <rowFields count="5">
    <field x="10"/>
    <field x="9"/>
    <field x="14"/>
    <field x="18"/>
    <field x="16"/>
  </rowFields>
  <rowItems count="1">
    <i t="grand">
      <x/>
    </i>
  </rowItems>
  <colItems count="1">
    <i/>
  </colItems>
  <pageFields count="1">
    <pageField fld="35" hier="-1"/>
  </pageFields>
  <dataFields count="1">
    <dataField name="Sum of Invoiced" fld="35" baseField="0" baseItem="0"/>
  </dataFields>
  <formats count="55">
    <format dxfId="248">
      <pivotArea outline="0" collapsedLevelsAreSubtotals="1" fieldPosition="0"/>
    </format>
    <format dxfId="247">
      <pivotArea field="67" type="button" dataOnly="0" labelOnly="1" outline="0"/>
    </format>
    <format dxfId="246">
      <pivotArea type="origin" dataOnly="0" labelOnly="1" outline="0" fieldPosition="0"/>
    </format>
    <format dxfId="245">
      <pivotArea type="all" dataOnly="0" outline="0" fieldPosition="0"/>
    </format>
    <format dxfId="244">
      <pivotArea type="origin" dataOnly="0" labelOnly="1" outline="0" fieldPosition="0"/>
    </format>
    <format dxfId="243">
      <pivotArea field="9" type="button" dataOnly="0" labelOnly="1" outline="0" axis="axisRow" fieldPosition="1"/>
    </format>
    <format dxfId="242">
      <pivotArea field="10" type="button" dataOnly="0" labelOnly="1" outline="0" axis="axisRow" fieldPosition="0"/>
    </format>
    <format dxfId="241">
      <pivotArea field="18" type="button" dataOnly="0" labelOnly="1" outline="0" axis="axisRow" fieldPosition="3"/>
    </format>
    <format dxfId="240">
      <pivotArea field="14" type="button" dataOnly="0" labelOnly="1" outline="0" axis="axisRow" fieldPosition="2"/>
    </format>
    <format dxfId="239">
      <pivotArea field="69" type="button" dataOnly="0" labelOnly="1" outline="0"/>
    </format>
    <format dxfId="238">
      <pivotArea field="16" type="button" dataOnly="0" labelOnly="1" outline="0" axis="axisRow" fieldPosition="4"/>
    </format>
    <format dxfId="237">
      <pivotArea type="topRight" dataOnly="0" labelOnly="1" outline="0" fieldPosition="0"/>
    </format>
    <format dxfId="236">
      <pivotArea field="18" type="button" dataOnly="0" labelOnly="1" outline="0" axis="axisRow" fieldPosition="3"/>
    </format>
    <format dxfId="235">
      <pivotArea field="9" type="button" dataOnly="0" labelOnly="1" outline="0" axis="axisRow" fieldPosition="1"/>
    </format>
    <format dxfId="234">
      <pivotArea field="10" type="button" dataOnly="0" labelOnly="1" outline="0" axis="axisRow" fieldPosition="0"/>
    </format>
    <format dxfId="233">
      <pivotArea field="18" type="button" dataOnly="0" labelOnly="1" outline="0" axis="axisRow" fieldPosition="3"/>
    </format>
    <format dxfId="232">
      <pivotArea field="14" type="button" dataOnly="0" labelOnly="1" outline="0" axis="axisRow" fieldPosition="2"/>
    </format>
    <format dxfId="231">
      <pivotArea field="69" type="button" dataOnly="0" labelOnly="1" outline="0"/>
    </format>
    <format dxfId="230">
      <pivotArea field="16" type="button" dataOnly="0" labelOnly="1" outline="0" axis="axisRow" fieldPosition="4"/>
    </format>
    <format dxfId="229">
      <pivotArea outline="0" collapsedLevelsAreSubtotals="1" fieldPosition="0"/>
    </format>
    <format dxfId="228">
      <pivotArea field="2" type="button" dataOnly="0" labelOnly="1" outline="0"/>
    </format>
    <format dxfId="227">
      <pivotArea field="9" type="button" dataOnly="0" labelOnly="1" outline="0" axis="axisRow" fieldPosition="1"/>
    </format>
    <format dxfId="226">
      <pivotArea field="10" type="button" dataOnly="0" labelOnly="1" outline="0" axis="axisRow" fieldPosition="0"/>
    </format>
    <format dxfId="225">
      <pivotArea field="18" type="button" dataOnly="0" labelOnly="1" outline="0" axis="axisRow" fieldPosition="3"/>
    </format>
    <format dxfId="224">
      <pivotArea field="14" type="button" dataOnly="0" labelOnly="1" outline="0" axis="axisRow" fieldPosition="2"/>
    </format>
    <format dxfId="223">
      <pivotArea field="69" type="button" dataOnly="0" labelOnly="1" outline="0"/>
    </format>
    <format dxfId="222">
      <pivotArea field="16" type="button" dataOnly="0" labelOnly="1" outline="0" axis="axisRow" fieldPosition="4"/>
    </format>
    <format dxfId="221">
      <pivotArea dataOnly="0" labelOnly="1" grandRow="1" outline="0" fieldPosition="0"/>
    </format>
    <format dxfId="220">
      <pivotArea field="2" type="button" dataOnly="0" labelOnly="1" outline="0"/>
    </format>
    <format dxfId="219">
      <pivotArea type="all" dataOnly="0" outline="0" fieldPosition="0"/>
    </format>
    <format dxfId="218">
      <pivotArea outline="0" collapsedLevelsAreSubtotals="1" fieldPosition="0"/>
    </format>
    <format dxfId="217">
      <pivotArea type="origin" dataOnly="0" labelOnly="1" outline="0" fieldPosition="0"/>
    </format>
    <format dxfId="216">
      <pivotArea field="2" type="button" dataOnly="0" labelOnly="1" outline="0"/>
    </format>
    <format dxfId="215">
      <pivotArea field="9" type="button" dataOnly="0" labelOnly="1" outline="0" axis="axisRow" fieldPosition="1"/>
    </format>
    <format dxfId="214">
      <pivotArea field="10" type="button" dataOnly="0" labelOnly="1" outline="0" axis="axisRow" fieldPosition="0"/>
    </format>
    <format dxfId="213">
      <pivotArea field="18" type="button" dataOnly="0" labelOnly="1" outline="0" axis="axisRow" fieldPosition="3"/>
    </format>
    <format dxfId="212">
      <pivotArea field="14" type="button" dataOnly="0" labelOnly="1" outline="0" axis="axisRow" fieldPosition="2"/>
    </format>
    <format dxfId="211">
      <pivotArea field="69" type="button" dataOnly="0" labelOnly="1" outline="0"/>
    </format>
    <format dxfId="210">
      <pivotArea field="16" type="button" dataOnly="0" labelOnly="1" outline="0" axis="axisRow" fieldPosition="4"/>
    </format>
    <format dxfId="209">
      <pivotArea dataOnly="0" labelOnly="1" grandRow="1" outline="0" fieldPosition="0"/>
    </format>
    <format dxfId="208">
      <pivotArea type="topRight" dataOnly="0" labelOnly="1" outline="0" fieldPosition="0"/>
    </format>
    <format dxfId="207">
      <pivotArea type="all" dataOnly="0" outline="0" fieldPosition="0"/>
    </format>
    <format dxfId="206">
      <pivotArea outline="0" collapsedLevelsAreSubtotals="1" fieldPosition="0"/>
    </format>
    <format dxfId="205">
      <pivotArea type="origin" dataOnly="0" labelOnly="1" outline="0" fieldPosition="0"/>
    </format>
    <format dxfId="204">
      <pivotArea field="2" type="button" dataOnly="0" labelOnly="1" outline="0"/>
    </format>
    <format dxfId="203">
      <pivotArea field="9" type="button" dataOnly="0" labelOnly="1" outline="0" axis="axisRow" fieldPosition="1"/>
    </format>
    <format dxfId="202">
      <pivotArea field="10" type="button" dataOnly="0" labelOnly="1" outline="0" axis="axisRow" fieldPosition="0"/>
    </format>
    <format dxfId="201">
      <pivotArea field="18" type="button" dataOnly="0" labelOnly="1" outline="0" axis="axisRow" fieldPosition="3"/>
    </format>
    <format dxfId="200">
      <pivotArea field="14" type="button" dataOnly="0" labelOnly="1" outline="0" axis="axisRow" fieldPosition="2"/>
    </format>
    <format dxfId="199">
      <pivotArea field="69" type="button" dataOnly="0" labelOnly="1" outline="0"/>
    </format>
    <format dxfId="198">
      <pivotArea field="16" type="button" dataOnly="0" labelOnly="1" outline="0" axis="axisRow" fieldPosition="4"/>
    </format>
    <format dxfId="197">
      <pivotArea dataOnly="0" labelOnly="1" grandRow="1" outline="0" fieldPosition="0"/>
    </format>
    <format dxfId="196">
      <pivotArea type="topRight" dataOnly="0" labelOnly="1" outline="0" fieldPosition="0"/>
    </format>
    <format dxfId="195">
      <pivotArea outline="0" collapsedLevelsAreSubtotals="1" fieldPosition="0"/>
    </format>
    <format dxfId="194">
      <pivotArea type="origin" dataOnly="0" labelOnly="1" outline="0"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Agotado" cacheId="0" applyNumberFormats="0" applyBorderFormats="0" applyFontFormats="0" applyPatternFormats="0" applyAlignmentFormats="0" applyWidthHeightFormats="1" dataCaption="Valores" updatedVersion="8" minRefreshableVersion="3" itemPrintTitles="1" createdVersion="7" indent="0" compact="0" compactData="0" gridDropZones="1" multipleFieldFilters="0">
  <location ref="B5:G7" firstHeaderRow="2" firstDataRow="2" firstDataCol="5" rowPageCount="1" colPageCount="1"/>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4">
        <item m="1" x="2"/>
        <item m="1" x="1"/>
        <item x="0"/>
        <item m="1"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6">
        <item m="1" x="4"/>
        <item m="1" x="5"/>
        <item m="1" x="2"/>
        <item m="1" x="3"/>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Pedido" axis="axisRow" compact="0" outline="0" subtotalTop="0" showAll="0" defaultSubtotal="0">
      <items count="5">
        <item x="0"/>
        <item m="1" x="3"/>
        <item m="1" x="1"/>
        <item m="1" x="2"/>
        <item m="1" x="4"/>
      </items>
      <extLst>
        <ext xmlns:x14="http://schemas.microsoft.com/office/spreadsheetml/2009/9/main" uri="{2946ED86-A175-432a-8AC1-64E0C546D7DE}">
          <x14:pivotField fillDownLabels="1"/>
        </ext>
      </extLst>
    </pivotField>
    <pivotField name="Orden de Compra" axis="axisRow" compact="0" outline="0" subtotalTop="0" showAll="0" defaultSubtotal="0">
      <items count="78">
        <item m="1" x="10"/>
        <item m="1" x="33"/>
        <item m="1" x="46"/>
        <item m="1" x="66"/>
        <item m="1" x="60"/>
        <item m="1" x="76"/>
        <item m="1" x="19"/>
        <item m="1" x="2"/>
        <item m="1" x="14"/>
        <item m="1" x="23"/>
        <item m="1" x="24"/>
        <item m="1" x="25"/>
        <item m="1" x="26"/>
        <item m="1" x="62"/>
        <item m="1" x="63"/>
        <item m="1" x="64"/>
        <item m="1" x="65"/>
        <item m="1" x="32"/>
        <item m="1" x="34"/>
        <item m="1" x="36"/>
        <item m="1" x="37"/>
        <item m="1" x="6"/>
        <item m="1" x="9"/>
        <item m="1" x="49"/>
        <item m="1" x="50"/>
        <item m="1" x="68"/>
        <item m="1" x="71"/>
        <item m="1" x="72"/>
        <item m="1" x="75"/>
        <item m="1" x="11"/>
        <item m="1" x="51"/>
        <item m="1" x="52"/>
        <item m="1" x="53"/>
        <item m="1" x="41"/>
        <item m="1" x="43"/>
        <item m="1" x="15"/>
        <item m="1" x="16"/>
        <item m="1" x="42"/>
        <item m="1" x="45"/>
        <item m="1" x="47"/>
        <item m="1" x="48"/>
        <item m="1" x="12"/>
        <item m="1" x="13"/>
        <item m="1" x="55"/>
        <item m="1" x="57"/>
        <item m="1" x="1"/>
        <item m="1" x="3"/>
        <item m="1" x="4"/>
        <item m="1" x="44"/>
        <item m="1" x="20"/>
        <item m="1" x="21"/>
        <item m="1" x="67"/>
        <item m="1" x="69"/>
        <item m="1" x="73"/>
        <item m="1" x="35"/>
        <item m="1" x="54"/>
        <item m="1" x="56"/>
        <item m="1" x="7"/>
        <item m="1" x="8"/>
        <item m="1" x="28"/>
        <item m="1" x="77"/>
        <item m="1" x="70"/>
        <item m="1" x="38"/>
        <item m="1" x="58"/>
        <item m="1" x="29"/>
        <item m="1" x="74"/>
        <item m="1" x="17"/>
        <item m="1" x="27"/>
        <item m="1" x="30"/>
        <item m="1" x="5"/>
        <item m="1" x="18"/>
        <item m="1" x="31"/>
        <item m="1" x="22"/>
        <item m="1" x="61"/>
        <item m="1" x="59"/>
        <item m="1" x="40"/>
        <item m="1" x="39"/>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3">
        <item x="0"/>
        <item m="1" x="10"/>
        <item m="1" x="8"/>
        <item m="1" x="12"/>
        <item m="1" x="5"/>
        <item m="1" x="3"/>
        <item m="1" x="2"/>
        <item m="1" x="11"/>
        <item m="1" x="6"/>
        <item m="1" x="4"/>
        <item m="1" x="7"/>
        <item m="1" x="9"/>
        <item m="1" x="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46">
        <item m="1" x="11"/>
        <item m="1" x="25"/>
        <item m="1" x="3"/>
        <item m="1" x="16"/>
        <item m="1" x="30"/>
        <item m="1" x="9"/>
        <item m="1" x="10"/>
        <item m="1" x="18"/>
        <item m="1" x="23"/>
        <item m="1" x="44"/>
        <item m="1" x="19"/>
        <item m="1" x="7"/>
        <item m="1" x="35"/>
        <item m="1" x="41"/>
        <item m="1" x="24"/>
        <item m="1" x="14"/>
        <item m="1" x="42"/>
        <item m="1" x="12"/>
        <item m="1" x="36"/>
        <item m="1" x="6"/>
        <item m="1" x="39"/>
        <item m="1" x="40"/>
        <item m="1" x="38"/>
        <item m="1" x="15"/>
        <item m="1" x="28"/>
        <item m="1" x="20"/>
        <item m="1" x="34"/>
        <item m="1" x="1"/>
        <item m="1" x="31"/>
        <item m="1" x="4"/>
        <item m="1" x="21"/>
        <item m="1" x="37"/>
        <item m="1" x="5"/>
        <item x="0"/>
        <item m="1" x="26"/>
        <item m="1" x="8"/>
        <item m="1" x="22"/>
        <item m="1" x="45"/>
        <item m="1" x="43"/>
        <item m="1" x="27"/>
        <item m="1" x="2"/>
        <item m="1" x="32"/>
        <item m="1" x="13"/>
        <item m="1" x="29"/>
        <item m="1" x="33"/>
        <item m="1" x="1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EAN" axis="axisRow" compact="0" outline="0" subtotalTop="0" showAll="0" defaultSubtotal="0">
      <items count="34">
        <item m="1" x="26"/>
        <item m="1" x="2"/>
        <item m="1" x="12"/>
        <item m="1" x="22"/>
        <item m="1" x="15"/>
        <item m="1" x="5"/>
        <item m="1" x="21"/>
        <item m="1" x="31"/>
        <item m="1" x="25"/>
        <item m="1" x="29"/>
        <item m="1" x="33"/>
        <item m="1" x="23"/>
        <item m="1" x="24"/>
        <item m="1" x="7"/>
        <item m="1" x="30"/>
        <item m="1" x="20"/>
        <item m="1" x="11"/>
        <item m="1" x="6"/>
        <item m="1" x="8"/>
        <item m="1" x="1"/>
        <item m="1" x="19"/>
        <item m="1" x="27"/>
        <item m="1" x="4"/>
        <item m="1" x="13"/>
        <item m="1" x="10"/>
        <item m="1" x="14"/>
        <item m="1" x="9"/>
        <item m="1" x="3"/>
        <item m="1" x="16"/>
        <item m="1" x="17"/>
        <item m="1" x="28"/>
        <item m="1" x="32"/>
        <item m="1" x="18"/>
        <item x="0"/>
      </items>
      <extLst>
        <ext xmlns:x14="http://schemas.microsoft.com/office/spreadsheetml/2009/9/main" uri="{2946ED86-A175-432a-8AC1-64E0C546D7DE}">
          <x14:pivotField fillDownLabels="1"/>
        </ext>
      </extLst>
    </pivotField>
    <pivotField compact="0" numFmtId="14" outline="0" subtotalTop="0" showAll="0" defaultSubtotal="0">
      <items count="33">
        <item m="1" x="22"/>
        <item m="1" x="21"/>
        <item m="1" x="7"/>
        <item m="1" x="28"/>
        <item m="1" x="11"/>
        <item m="1" x="6"/>
        <item m="1" x="26"/>
        <item m="1" x="10"/>
        <item m="1" x="24"/>
        <item m="1" x="4"/>
        <item m="1" x="19"/>
        <item m="1" x="32"/>
        <item m="1" x="8"/>
        <item m="1" x="23"/>
        <item m="1" x="1"/>
        <item m="1" x="17"/>
        <item m="1" x="30"/>
        <item m="1" x="3"/>
        <item m="1" x="18"/>
        <item m="1" x="12"/>
        <item m="1" x="25"/>
        <item m="1" x="13"/>
        <item m="1" x="20"/>
        <item m="1" x="9"/>
        <item m="1" x="16"/>
        <item m="1" x="5"/>
        <item m="1" x="15"/>
        <item m="1" x="29"/>
        <item m="1" x="27"/>
        <item m="1" x="2"/>
        <item m="1" x="14"/>
        <item m="1" x="3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7">
        <item m="1" x="2"/>
        <item h="1" m="1" x="1"/>
        <item h="1" m="1" x="4"/>
        <item h="1" m="1" x="6"/>
        <item h="1" m="1" x="5"/>
        <item h="1" x="0"/>
        <item m="1"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84">
        <item m="1" x="49"/>
        <item m="1" x="45"/>
        <item m="1" x="21"/>
        <item m="1" x="72"/>
        <item m="1" x="43"/>
        <item m="1" x="26"/>
        <item m="1" x="38"/>
        <item m="1" x="16"/>
        <item m="1" x="52"/>
        <item m="1" x="42"/>
        <item m="1" x="58"/>
        <item m="1" x="30"/>
        <item m="1" x="44"/>
        <item m="1" x="47"/>
        <item m="1" x="41"/>
        <item m="1" x="31"/>
        <item m="1" x="40"/>
        <item m="1" x="32"/>
        <item m="1" x="7"/>
        <item m="1" x="69"/>
        <item m="1" x="65"/>
        <item m="1" x="13"/>
        <item m="1" x="25"/>
        <item m="1" x="15"/>
        <item m="1" x="74"/>
        <item m="1" x="51"/>
        <item m="1" x="33"/>
        <item m="1" x="60"/>
        <item m="1" x="54"/>
        <item m="1" x="27"/>
        <item m="1" x="9"/>
        <item m="1" x="83"/>
        <item m="1" x="8"/>
        <item m="1" x="39"/>
        <item m="1" x="3"/>
        <item m="1" x="18"/>
        <item m="1" x="17"/>
        <item m="1" x="81"/>
        <item m="1" x="20"/>
        <item m="1" x="6"/>
        <item m="1" x="5"/>
        <item m="1" x="66"/>
        <item m="1" x="14"/>
        <item m="1" x="71"/>
        <item m="1" x="80"/>
        <item m="1" x="68"/>
        <item m="1" x="63"/>
        <item m="1" x="82"/>
        <item m="1" x="48"/>
        <item m="1" x="46"/>
        <item m="1" x="2"/>
        <item m="1" x="23"/>
        <item m="1" x="22"/>
        <item m="1" x="35"/>
        <item m="1" x="78"/>
        <item m="1" x="37"/>
        <item m="1" x="55"/>
        <item m="1" x="11"/>
        <item m="1" x="70"/>
        <item m="1" x="73"/>
        <item m="1" x="1"/>
        <item m="1" x="12"/>
        <item m="1" x="4"/>
        <item m="1" x="50"/>
        <item m="1" x="79"/>
        <item m="1" x="34"/>
        <item m="1" x="62"/>
        <item m="1" x="76"/>
        <item m="1" x="28"/>
        <item m="1" x="59"/>
        <item m="1" x="10"/>
        <item m="1" x="36"/>
        <item m="1" x="53"/>
        <item m="1" x="24"/>
        <item m="1" x="64"/>
        <item m="1" x="57"/>
        <item m="1" x="77"/>
        <item m="1" x="19"/>
        <item m="1" x="75"/>
        <item m="1" x="61"/>
        <item m="1" x="29"/>
        <item m="1" x="56"/>
        <item m="1" x="67"/>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s>
  <rowFields count="5">
    <field x="10"/>
    <field x="9"/>
    <field x="14"/>
    <field x="18"/>
    <field x="16"/>
  </rowFields>
  <rowItems count="1">
    <i t="grand">
      <x/>
    </i>
  </rowItems>
  <colItems count="1">
    <i/>
  </colItems>
  <pageFields count="1">
    <pageField fld="67" hier="-1"/>
  </pageFields>
  <dataFields count="1">
    <dataField name="Sum of Sin Despacho" fld="71" baseField="0" baseItem="0"/>
  </dataFields>
  <formats count="48">
    <format dxfId="193">
      <pivotArea outline="0" collapsedLevelsAreSubtotals="1" fieldPosition="0"/>
    </format>
    <format dxfId="192">
      <pivotArea field="67" type="button" dataOnly="0" labelOnly="1" outline="0" axis="axisPage" fieldPosition="0"/>
    </format>
    <format dxfId="191">
      <pivotArea type="origin" dataOnly="0" labelOnly="1" outline="0" fieldPosition="0"/>
    </format>
    <format dxfId="190">
      <pivotArea type="all" dataOnly="0" outline="0" fieldPosition="0"/>
    </format>
    <format dxfId="189">
      <pivotArea type="origin" dataOnly="0" labelOnly="1" outline="0" fieldPosition="0"/>
    </format>
    <format dxfId="188">
      <pivotArea field="9" type="button" dataOnly="0" labelOnly="1" outline="0" axis="axisRow" fieldPosition="1"/>
    </format>
    <format dxfId="187">
      <pivotArea field="10" type="button" dataOnly="0" labelOnly="1" outline="0" axis="axisRow" fieldPosition="0"/>
    </format>
    <format dxfId="186">
      <pivotArea field="18" type="button" dataOnly="0" labelOnly="1" outline="0" axis="axisRow" fieldPosition="3"/>
    </format>
    <format dxfId="185">
      <pivotArea field="14" type="button" dataOnly="0" labelOnly="1" outline="0" axis="axisRow" fieldPosition="2"/>
    </format>
    <format dxfId="184">
      <pivotArea field="69" type="button" dataOnly="0" labelOnly="1" outline="0"/>
    </format>
    <format dxfId="183">
      <pivotArea field="16" type="button" dataOnly="0" labelOnly="1" outline="0" axis="axisRow" fieldPosition="4"/>
    </format>
    <format dxfId="182">
      <pivotArea dataOnly="0" labelOnly="1" grandRow="1" outline="0" fieldPosition="0"/>
    </format>
    <format dxfId="181">
      <pivotArea type="topRight" dataOnly="0" labelOnly="1" outline="0" fieldPosition="0"/>
    </format>
    <format dxfId="180">
      <pivotArea field="18" type="button" dataOnly="0" labelOnly="1" outline="0" axis="axisRow" fieldPosition="3"/>
    </format>
    <format dxfId="179">
      <pivotArea outline="0" collapsedLevelsAreSubtotals="1" fieldPosition="0"/>
    </format>
    <format dxfId="178">
      <pivotArea field="9" type="button" dataOnly="0" labelOnly="1" outline="0" axis="axisRow" fieldPosition="1"/>
    </format>
    <format dxfId="177">
      <pivotArea field="10" type="button" dataOnly="0" labelOnly="1" outline="0" axis="axisRow" fieldPosition="0"/>
    </format>
    <format dxfId="176">
      <pivotArea field="18" type="button" dataOnly="0" labelOnly="1" outline="0" axis="axisRow" fieldPosition="3"/>
    </format>
    <format dxfId="175">
      <pivotArea field="14" type="button" dataOnly="0" labelOnly="1" outline="0" axis="axisRow" fieldPosition="2"/>
    </format>
    <format dxfId="174">
      <pivotArea field="69" type="button" dataOnly="0" labelOnly="1" outline="0"/>
    </format>
    <format dxfId="173">
      <pivotArea field="16" type="button" dataOnly="0" labelOnly="1" outline="0" axis="axisRow" fieldPosition="4"/>
    </format>
    <format dxfId="172">
      <pivotArea field="2" type="button" dataOnly="0" labelOnly="1" outline="0"/>
    </format>
    <format dxfId="171">
      <pivotArea type="all" dataOnly="0" outline="0" fieldPosition="0"/>
    </format>
    <format dxfId="170">
      <pivotArea outline="0" collapsedLevelsAreSubtotals="1" fieldPosition="0"/>
    </format>
    <format dxfId="169">
      <pivotArea type="origin" dataOnly="0" labelOnly="1" outline="0" fieldPosition="0"/>
    </format>
    <format dxfId="168">
      <pivotArea field="2" type="button" dataOnly="0" labelOnly="1" outline="0"/>
    </format>
    <format dxfId="167">
      <pivotArea field="9" type="button" dataOnly="0" labelOnly="1" outline="0" axis="axisRow" fieldPosition="1"/>
    </format>
    <format dxfId="166">
      <pivotArea field="10" type="button" dataOnly="0" labelOnly="1" outline="0" axis="axisRow" fieldPosition="0"/>
    </format>
    <format dxfId="165">
      <pivotArea field="18" type="button" dataOnly="0" labelOnly="1" outline="0" axis="axisRow" fieldPosition="3"/>
    </format>
    <format dxfId="164">
      <pivotArea field="14" type="button" dataOnly="0" labelOnly="1" outline="0" axis="axisRow" fieldPosition="2"/>
    </format>
    <format dxfId="163">
      <pivotArea field="69" type="button" dataOnly="0" labelOnly="1" outline="0"/>
    </format>
    <format dxfId="162">
      <pivotArea field="16" type="button" dataOnly="0" labelOnly="1" outline="0" axis="axisRow" fieldPosition="4"/>
    </format>
    <format dxfId="161">
      <pivotArea dataOnly="0" labelOnly="1" grandRow="1" outline="0" fieldPosition="0"/>
    </format>
    <format dxfId="160">
      <pivotArea type="topRight" dataOnly="0" labelOnly="1" outline="0" fieldPosition="0"/>
    </format>
    <format dxfId="159">
      <pivotArea type="all" dataOnly="0" outline="0" fieldPosition="0"/>
    </format>
    <format dxfId="158">
      <pivotArea outline="0" collapsedLevelsAreSubtotals="1" fieldPosition="0"/>
    </format>
    <format dxfId="157">
      <pivotArea type="origin" dataOnly="0" labelOnly="1" outline="0" fieldPosition="0"/>
    </format>
    <format dxfId="156">
      <pivotArea field="2" type="button" dataOnly="0" labelOnly="1" outline="0"/>
    </format>
    <format dxfId="155">
      <pivotArea field="9" type="button" dataOnly="0" labelOnly="1" outline="0" axis="axisRow" fieldPosition="1"/>
    </format>
    <format dxfId="154">
      <pivotArea field="10" type="button" dataOnly="0" labelOnly="1" outline="0" axis="axisRow" fieldPosition="0"/>
    </format>
    <format dxfId="153">
      <pivotArea field="18" type="button" dataOnly="0" labelOnly="1" outline="0" axis="axisRow" fieldPosition="3"/>
    </format>
    <format dxfId="152">
      <pivotArea field="14" type="button" dataOnly="0" labelOnly="1" outline="0" axis="axisRow" fieldPosition="2"/>
    </format>
    <format dxfId="151">
      <pivotArea field="69" type="button" dataOnly="0" labelOnly="1" outline="0"/>
    </format>
    <format dxfId="150">
      <pivotArea field="16" type="button" dataOnly="0" labelOnly="1" outline="0" axis="axisRow" fieldPosition="4"/>
    </format>
    <format dxfId="149">
      <pivotArea dataOnly="0" labelOnly="1" grandRow="1" outline="0" fieldPosition="0"/>
    </format>
    <format dxfId="148">
      <pivotArea type="topRight" dataOnly="0" labelOnly="1" outline="0" fieldPosition="0"/>
    </format>
    <format dxfId="147">
      <pivotArea field="18" type="button" dataOnly="0" labelOnly="1" outline="0" axis="axisRow" fieldPosition="3"/>
    </format>
    <format dxfId="146">
      <pivotArea type="origin" dataOnly="0" labelOnly="1" outline="0"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Descontinuado" cacheId="0" applyNumberFormats="0" applyBorderFormats="0" applyFontFormats="0" applyPatternFormats="0" applyAlignmentFormats="0" applyWidthHeightFormats="1" dataCaption="Valores" updatedVersion="8" minRefreshableVersion="3" itemPrintTitles="1" createdVersion="7" indent="0" compact="0" compactData="0" gridDropZones="1" multipleFieldFilters="0">
  <location ref="B5:G7" firstHeaderRow="2" firstDataRow="2" firstDataCol="5" rowPageCount="1" colPageCount="1"/>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4">
        <item m="1" x="2"/>
        <item m="1" x="1"/>
        <item x="0"/>
        <item m="1"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6">
        <item m="1" x="4"/>
        <item m="1" x="5"/>
        <item m="1" x="2"/>
        <item m="1" x="3"/>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Pedido" axis="axisRow" compact="0" outline="0" subtotalTop="0" showAll="0" defaultSubtotal="0">
      <items count="5">
        <item x="0"/>
        <item m="1" x="3"/>
        <item m="1" x="1"/>
        <item m="1" x="2"/>
        <item m="1" x="4"/>
      </items>
      <extLst>
        <ext xmlns:x14="http://schemas.microsoft.com/office/spreadsheetml/2009/9/main" uri="{2946ED86-A175-432a-8AC1-64E0C546D7DE}">
          <x14:pivotField fillDownLabels="1"/>
        </ext>
      </extLst>
    </pivotField>
    <pivotField name="Orden de Compra" axis="axisRow" compact="0" outline="0" subtotalTop="0" showAll="0" defaultSubtotal="0">
      <items count="78">
        <item m="1" x="10"/>
        <item m="1" x="33"/>
        <item m="1" x="46"/>
        <item m="1" x="66"/>
        <item m="1" x="60"/>
        <item m="1" x="76"/>
        <item m="1" x="19"/>
        <item m="1" x="2"/>
        <item m="1" x="14"/>
        <item m="1" x="23"/>
        <item m="1" x="24"/>
        <item m="1" x="25"/>
        <item m="1" x="26"/>
        <item m="1" x="62"/>
        <item m="1" x="63"/>
        <item m="1" x="64"/>
        <item m="1" x="65"/>
        <item m="1" x="32"/>
        <item m="1" x="34"/>
        <item m="1" x="36"/>
        <item m="1" x="37"/>
        <item m="1" x="6"/>
        <item m="1" x="9"/>
        <item m="1" x="49"/>
        <item m="1" x="50"/>
        <item m="1" x="68"/>
        <item m="1" x="71"/>
        <item m="1" x="72"/>
        <item m="1" x="75"/>
        <item m="1" x="11"/>
        <item m="1" x="51"/>
        <item m="1" x="52"/>
        <item m="1" x="53"/>
        <item m="1" x="41"/>
        <item m="1" x="43"/>
        <item m="1" x="15"/>
        <item m="1" x="16"/>
        <item m="1" x="42"/>
        <item m="1" x="45"/>
        <item m="1" x="47"/>
        <item m="1" x="48"/>
        <item m="1" x="12"/>
        <item m="1" x="13"/>
        <item m="1" x="55"/>
        <item m="1" x="57"/>
        <item m="1" x="1"/>
        <item m="1" x="3"/>
        <item m="1" x="4"/>
        <item m="1" x="44"/>
        <item m="1" x="20"/>
        <item m="1" x="21"/>
        <item m="1" x="67"/>
        <item m="1" x="69"/>
        <item m="1" x="73"/>
        <item m="1" x="35"/>
        <item m="1" x="54"/>
        <item m="1" x="56"/>
        <item m="1" x="7"/>
        <item m="1" x="8"/>
        <item m="1" x="28"/>
        <item m="1" x="77"/>
        <item m="1" x="70"/>
        <item m="1" x="38"/>
        <item m="1" x="58"/>
        <item m="1" x="29"/>
        <item m="1" x="74"/>
        <item m="1" x="17"/>
        <item m="1" x="27"/>
        <item m="1" x="30"/>
        <item m="1" x="5"/>
        <item m="1" x="18"/>
        <item m="1" x="31"/>
        <item m="1" x="22"/>
        <item m="1" x="61"/>
        <item m="1" x="59"/>
        <item m="1" x="40"/>
        <item m="1" x="39"/>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3">
        <item x="0"/>
        <item m="1" x="10"/>
        <item m="1" x="8"/>
        <item m="1" x="12"/>
        <item m="1" x="5"/>
        <item m="1" x="3"/>
        <item m="1" x="2"/>
        <item m="1" x="11"/>
        <item m="1" x="6"/>
        <item m="1" x="4"/>
        <item m="1" x="7"/>
        <item m="1" x="9"/>
        <item m="1" x="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46">
        <item m="1" x="11"/>
        <item m="1" x="25"/>
        <item m="1" x="3"/>
        <item m="1" x="16"/>
        <item m="1" x="30"/>
        <item m="1" x="9"/>
        <item m="1" x="10"/>
        <item m="1" x="18"/>
        <item m="1" x="23"/>
        <item m="1" x="44"/>
        <item m="1" x="19"/>
        <item m="1" x="7"/>
        <item m="1" x="35"/>
        <item m="1" x="41"/>
        <item m="1" x="24"/>
        <item m="1" x="14"/>
        <item m="1" x="42"/>
        <item m="1" x="12"/>
        <item m="1" x="36"/>
        <item m="1" x="6"/>
        <item m="1" x="39"/>
        <item m="1" x="40"/>
        <item m="1" x="38"/>
        <item m="1" x="15"/>
        <item m="1" x="28"/>
        <item m="1" x="20"/>
        <item m="1" x="34"/>
        <item m="1" x="1"/>
        <item m="1" x="31"/>
        <item m="1" x="4"/>
        <item m="1" x="21"/>
        <item m="1" x="37"/>
        <item m="1" x="5"/>
        <item x="0"/>
        <item m="1" x="26"/>
        <item m="1" x="8"/>
        <item m="1" x="22"/>
        <item m="1" x="45"/>
        <item m="1" x="43"/>
        <item m="1" x="27"/>
        <item m="1" x="2"/>
        <item m="1" x="32"/>
        <item m="1" x="13"/>
        <item m="1" x="29"/>
        <item m="1" x="33"/>
        <item m="1" x="1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EAN" axis="axisRow" compact="0" outline="0" subtotalTop="0" showAll="0" defaultSubtotal="0">
      <items count="34">
        <item m="1" x="26"/>
        <item m="1" x="2"/>
        <item m="1" x="12"/>
        <item m="1" x="22"/>
        <item m="1" x="15"/>
        <item m="1" x="5"/>
        <item m="1" x="21"/>
        <item m="1" x="31"/>
        <item m="1" x="25"/>
        <item m="1" x="29"/>
        <item m="1" x="33"/>
        <item m="1" x="23"/>
        <item m="1" x="24"/>
        <item m="1" x="7"/>
        <item m="1" x="30"/>
        <item m="1" x="20"/>
        <item m="1" x="11"/>
        <item m="1" x="6"/>
        <item m="1" x="8"/>
        <item m="1" x="1"/>
        <item m="1" x="19"/>
        <item m="1" x="27"/>
        <item m="1" x="4"/>
        <item m="1" x="13"/>
        <item m="1" x="10"/>
        <item m="1" x="14"/>
        <item m="1" x="9"/>
        <item m="1" x="3"/>
        <item m="1" x="16"/>
        <item m="1" x="17"/>
        <item m="1" x="28"/>
        <item m="1" x="32"/>
        <item m="1" x="18"/>
        <item x="0"/>
      </items>
      <extLst>
        <ext xmlns:x14="http://schemas.microsoft.com/office/spreadsheetml/2009/9/main" uri="{2946ED86-A175-432a-8AC1-64E0C546D7DE}">
          <x14:pivotField fillDownLabels="1"/>
        </ext>
      </extLst>
    </pivotField>
    <pivotField compact="0" numFmtId="14" outline="0" subtotalTop="0" showAll="0" defaultSubtotal="0">
      <items count="33">
        <item m="1" x="22"/>
        <item m="1" x="21"/>
        <item m="1" x="7"/>
        <item m="1" x="28"/>
        <item m="1" x="11"/>
        <item m="1" x="6"/>
        <item m="1" x="26"/>
        <item m="1" x="10"/>
        <item m="1" x="24"/>
        <item m="1" x="4"/>
        <item m="1" x="19"/>
        <item m="1" x="32"/>
        <item m="1" x="8"/>
        <item m="1" x="23"/>
        <item m="1" x="1"/>
        <item m="1" x="17"/>
        <item m="1" x="30"/>
        <item m="1" x="3"/>
        <item m="1" x="18"/>
        <item m="1" x="12"/>
        <item m="1" x="25"/>
        <item m="1" x="13"/>
        <item m="1" x="20"/>
        <item m="1" x="9"/>
        <item m="1" x="16"/>
        <item m="1" x="5"/>
        <item m="1" x="15"/>
        <item m="1" x="29"/>
        <item m="1" x="27"/>
        <item m="1" x="2"/>
        <item m="1" x="14"/>
        <item m="1" x="3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7">
        <item h="1" m="1" x="2"/>
        <item m="1" x="1"/>
        <item h="1" m="1" x="4"/>
        <item h="1" m="1" x="6"/>
        <item h="1" m="1" x="5"/>
        <item h="1" x="0"/>
        <item h="1" m="1"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84">
        <item m="1" x="49"/>
        <item m="1" x="45"/>
        <item m="1" x="21"/>
        <item m="1" x="72"/>
        <item m="1" x="43"/>
        <item m="1" x="26"/>
        <item m="1" x="38"/>
        <item m="1" x="16"/>
        <item m="1" x="52"/>
        <item m="1" x="42"/>
        <item m="1" x="58"/>
        <item m="1" x="30"/>
        <item m="1" x="44"/>
        <item m="1" x="47"/>
        <item m="1" x="41"/>
        <item m="1" x="31"/>
        <item m="1" x="40"/>
        <item m="1" x="32"/>
        <item m="1" x="7"/>
        <item m="1" x="69"/>
        <item m="1" x="65"/>
        <item m="1" x="13"/>
        <item m="1" x="25"/>
        <item m="1" x="15"/>
        <item m="1" x="74"/>
        <item m="1" x="51"/>
        <item m="1" x="33"/>
        <item m="1" x="60"/>
        <item m="1" x="54"/>
        <item m="1" x="27"/>
        <item m="1" x="9"/>
        <item m="1" x="83"/>
        <item m="1" x="8"/>
        <item m="1" x="39"/>
        <item m="1" x="3"/>
        <item m="1" x="18"/>
        <item m="1" x="17"/>
        <item m="1" x="81"/>
        <item m="1" x="20"/>
        <item m="1" x="6"/>
        <item m="1" x="5"/>
        <item m="1" x="66"/>
        <item m="1" x="14"/>
        <item m="1" x="71"/>
        <item m="1" x="80"/>
        <item m="1" x="68"/>
        <item m="1" x="63"/>
        <item m="1" x="82"/>
        <item m="1" x="48"/>
        <item m="1" x="46"/>
        <item m="1" x="2"/>
        <item m="1" x="23"/>
        <item m="1" x="22"/>
        <item m="1" x="35"/>
        <item m="1" x="78"/>
        <item m="1" x="37"/>
        <item m="1" x="55"/>
        <item m="1" x="11"/>
        <item m="1" x="70"/>
        <item m="1" x="73"/>
        <item m="1" x="1"/>
        <item m="1" x="12"/>
        <item m="1" x="4"/>
        <item m="1" x="50"/>
        <item m="1" x="79"/>
        <item m="1" x="34"/>
        <item m="1" x="62"/>
        <item m="1" x="76"/>
        <item m="1" x="28"/>
        <item m="1" x="59"/>
        <item m="1" x="10"/>
        <item m="1" x="36"/>
        <item m="1" x="53"/>
        <item m="1" x="24"/>
        <item m="1" x="64"/>
        <item m="1" x="57"/>
        <item m="1" x="77"/>
        <item m="1" x="19"/>
        <item m="1" x="75"/>
        <item m="1" x="61"/>
        <item m="1" x="29"/>
        <item m="1" x="56"/>
        <item m="1" x="67"/>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s>
  <rowFields count="5">
    <field x="10"/>
    <field x="9"/>
    <field x="14"/>
    <field x="18"/>
    <field x="16"/>
  </rowFields>
  <rowItems count="1">
    <i t="grand">
      <x/>
    </i>
  </rowItems>
  <colItems count="1">
    <i/>
  </colItems>
  <pageFields count="1">
    <pageField fld="67" hier="-1"/>
  </pageFields>
  <dataFields count="1">
    <dataField name="Sum of Sin Despacho" fld="71" baseField="0" baseItem="0"/>
  </dataFields>
  <formats count="47">
    <format dxfId="145">
      <pivotArea outline="0" collapsedLevelsAreSubtotals="1" fieldPosition="0"/>
    </format>
    <format dxfId="144">
      <pivotArea field="67" type="button" dataOnly="0" labelOnly="1" outline="0" axis="axisPage" fieldPosition="0"/>
    </format>
    <format dxfId="143">
      <pivotArea type="origin" dataOnly="0" labelOnly="1" outline="0" fieldPosition="0"/>
    </format>
    <format dxfId="142">
      <pivotArea type="all" dataOnly="0" outline="0" fieldPosition="0"/>
    </format>
    <format dxfId="141">
      <pivotArea type="origin" dataOnly="0" labelOnly="1" outline="0" fieldPosition="0"/>
    </format>
    <format dxfId="140">
      <pivotArea field="9" type="button" dataOnly="0" labelOnly="1" outline="0" axis="axisRow" fieldPosition="1"/>
    </format>
    <format dxfId="139">
      <pivotArea field="10" type="button" dataOnly="0" labelOnly="1" outline="0" axis="axisRow" fieldPosition="0"/>
    </format>
    <format dxfId="138">
      <pivotArea field="18" type="button" dataOnly="0" labelOnly="1" outline="0" axis="axisRow" fieldPosition="3"/>
    </format>
    <format dxfId="137">
      <pivotArea field="14" type="button" dataOnly="0" labelOnly="1" outline="0" axis="axisRow" fieldPosition="2"/>
    </format>
    <format dxfId="136">
      <pivotArea field="69" type="button" dataOnly="0" labelOnly="1" outline="0"/>
    </format>
    <format dxfId="135">
      <pivotArea field="16" type="button" dataOnly="0" labelOnly="1" outline="0" axis="axisRow" fieldPosition="4"/>
    </format>
    <format dxfId="134">
      <pivotArea dataOnly="0" labelOnly="1" grandRow="1" outline="0" fieldPosition="0"/>
    </format>
    <format dxfId="133">
      <pivotArea type="topRight" dataOnly="0" labelOnly="1" outline="0" fieldPosition="0"/>
    </format>
    <format dxfId="132">
      <pivotArea field="18" type="button" dataOnly="0" labelOnly="1" outline="0" axis="axisRow" fieldPosition="3"/>
    </format>
    <format dxfId="131">
      <pivotArea outline="0" collapsedLevelsAreSubtotals="1" fieldPosition="0"/>
    </format>
    <format dxfId="130">
      <pivotArea field="2" type="button" dataOnly="0" labelOnly="1" outline="0"/>
    </format>
    <format dxfId="129">
      <pivotArea field="9" type="button" dataOnly="0" labelOnly="1" outline="0" axis="axisRow" fieldPosition="1"/>
    </format>
    <format dxfId="128">
      <pivotArea field="10" type="button" dataOnly="0" labelOnly="1" outline="0" axis="axisRow" fieldPosition="0"/>
    </format>
    <format dxfId="127">
      <pivotArea field="18" type="button" dataOnly="0" labelOnly="1" outline="0" axis="axisRow" fieldPosition="3"/>
    </format>
    <format dxfId="126">
      <pivotArea field="14" type="button" dataOnly="0" labelOnly="1" outline="0" axis="axisRow" fieldPosition="2"/>
    </format>
    <format dxfId="125">
      <pivotArea field="69" type="button" dataOnly="0" labelOnly="1" outline="0"/>
    </format>
    <format dxfId="124">
      <pivotArea field="16" type="button" dataOnly="0" labelOnly="1" outline="0" axis="axisRow" fieldPosition="4"/>
    </format>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2" type="button" dataOnly="0" labelOnly="1" outline="0"/>
    </format>
    <format dxfId="119">
      <pivotArea field="9" type="button" dataOnly="0" labelOnly="1" outline="0" axis="axisRow" fieldPosition="1"/>
    </format>
    <format dxfId="118">
      <pivotArea field="10" type="button" dataOnly="0" labelOnly="1" outline="0" axis="axisRow" fieldPosition="0"/>
    </format>
    <format dxfId="117">
      <pivotArea field="18" type="button" dataOnly="0" labelOnly="1" outline="0" axis="axisRow" fieldPosition="3"/>
    </format>
    <format dxfId="116">
      <pivotArea field="14" type="button" dataOnly="0" labelOnly="1" outline="0" axis="axisRow" fieldPosition="2"/>
    </format>
    <format dxfId="115">
      <pivotArea field="69" type="button" dataOnly="0" labelOnly="1" outline="0"/>
    </format>
    <format dxfId="114">
      <pivotArea field="16" type="button" dataOnly="0" labelOnly="1" outline="0" axis="axisRow" fieldPosition="4"/>
    </format>
    <format dxfId="113">
      <pivotArea dataOnly="0" labelOnly="1" grandRow="1" outline="0" fieldPosition="0"/>
    </format>
    <format dxfId="112">
      <pivotArea type="topRight" dataOnly="0" labelOnly="1" outline="0" fieldPosition="0"/>
    </format>
    <format dxfId="111">
      <pivotArea type="all" dataOnly="0" outline="0" fieldPosition="0"/>
    </format>
    <format dxfId="110">
      <pivotArea outline="0" collapsedLevelsAreSubtotals="1" fieldPosition="0"/>
    </format>
    <format dxfId="109">
      <pivotArea type="origin" dataOnly="0" labelOnly="1" outline="0" fieldPosition="0"/>
    </format>
    <format dxfId="108">
      <pivotArea field="2" type="button" dataOnly="0" labelOnly="1" outline="0"/>
    </format>
    <format dxfId="107">
      <pivotArea field="9" type="button" dataOnly="0" labelOnly="1" outline="0" axis="axisRow" fieldPosition="1"/>
    </format>
    <format dxfId="106">
      <pivotArea field="10" type="button" dataOnly="0" labelOnly="1" outline="0" axis="axisRow" fieldPosition="0"/>
    </format>
    <format dxfId="105">
      <pivotArea field="18" type="button" dataOnly="0" labelOnly="1" outline="0" axis="axisRow" fieldPosition="3"/>
    </format>
    <format dxfId="104">
      <pivotArea field="14" type="button" dataOnly="0" labelOnly="1" outline="0" axis="axisRow" fieldPosition="2"/>
    </format>
    <format dxfId="103">
      <pivotArea field="69" type="button" dataOnly="0" labelOnly="1" outline="0"/>
    </format>
    <format dxfId="102">
      <pivotArea field="16" type="button" dataOnly="0" labelOnly="1" outline="0" axis="axisRow" fieldPosition="4"/>
    </format>
    <format dxfId="101">
      <pivotArea dataOnly="0" labelOnly="1" grandRow="1" outline="0" fieldPosition="0"/>
    </format>
    <format dxfId="100">
      <pivotArea type="topRight" dataOnly="0" labelOnly="1" outline="0" fieldPosition="0"/>
    </format>
    <format dxfId="99">
      <pivotArea type="origin" dataOnly="0" labelOnly="1" outline="0"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DiferenciaPrecio" cacheId="0" applyNumberFormats="0" applyBorderFormats="0" applyFontFormats="0" applyPatternFormats="0" applyAlignmentFormats="0" applyWidthHeightFormats="1" dataCaption="Valores" updatedVersion="8" minRefreshableVersion="3" itemPrintTitles="1" createdVersion="7" indent="0" compact="0" compactData="0" gridDropZones="1" multipleFieldFilters="0">
  <location ref="B5:G7" firstHeaderRow="2" firstDataRow="2" firstDataCol="5" rowPageCount="1" colPageCount="1"/>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4">
        <item m="1" x="2"/>
        <item m="1" x="1"/>
        <item x="0"/>
        <item m="1"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6">
        <item m="1" x="4"/>
        <item m="1" x="5"/>
        <item m="1" x="2"/>
        <item m="1" x="3"/>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Pedido" axis="axisRow" compact="0" outline="0" subtotalTop="0" showAll="0" defaultSubtotal="0">
      <items count="5">
        <item x="0"/>
        <item m="1" x="3"/>
        <item m="1" x="1"/>
        <item m="1" x="2"/>
        <item m="1" x="4"/>
      </items>
      <extLst>
        <ext xmlns:x14="http://schemas.microsoft.com/office/spreadsheetml/2009/9/main" uri="{2946ED86-A175-432a-8AC1-64E0C546D7DE}">
          <x14:pivotField fillDownLabels="1"/>
        </ext>
      </extLst>
    </pivotField>
    <pivotField name="Orden de Compra" axis="axisRow" compact="0" outline="0" subtotalTop="0" showAll="0" defaultSubtotal="0">
      <items count="78">
        <item m="1" x="10"/>
        <item m="1" x="33"/>
        <item m="1" x="46"/>
        <item m="1" x="66"/>
        <item m="1" x="60"/>
        <item m="1" x="76"/>
        <item m="1" x="19"/>
        <item m="1" x="2"/>
        <item m="1" x="14"/>
        <item m="1" x="23"/>
        <item m="1" x="24"/>
        <item m="1" x="25"/>
        <item m="1" x="26"/>
        <item m="1" x="62"/>
        <item m="1" x="63"/>
        <item m="1" x="64"/>
        <item m="1" x="65"/>
        <item m="1" x="32"/>
        <item m="1" x="34"/>
        <item m="1" x="36"/>
        <item m="1" x="37"/>
        <item m="1" x="6"/>
        <item m="1" x="9"/>
        <item m="1" x="49"/>
        <item m="1" x="50"/>
        <item m="1" x="68"/>
        <item m="1" x="71"/>
        <item m="1" x="72"/>
        <item m="1" x="75"/>
        <item m="1" x="11"/>
        <item m="1" x="51"/>
        <item m="1" x="52"/>
        <item m="1" x="53"/>
        <item m="1" x="41"/>
        <item m="1" x="43"/>
        <item m="1" x="15"/>
        <item m="1" x="16"/>
        <item m="1" x="42"/>
        <item m="1" x="45"/>
        <item m="1" x="47"/>
        <item m="1" x="48"/>
        <item m="1" x="12"/>
        <item m="1" x="13"/>
        <item m="1" x="55"/>
        <item m="1" x="57"/>
        <item m="1" x="1"/>
        <item m="1" x="3"/>
        <item m="1" x="4"/>
        <item m="1" x="44"/>
        <item m="1" x="20"/>
        <item m="1" x="21"/>
        <item m="1" x="67"/>
        <item m="1" x="69"/>
        <item m="1" x="73"/>
        <item m="1" x="35"/>
        <item m="1" x="54"/>
        <item m="1" x="56"/>
        <item m="1" x="7"/>
        <item m="1" x="8"/>
        <item m="1" x="28"/>
        <item m="1" x="77"/>
        <item m="1" x="70"/>
        <item m="1" x="38"/>
        <item m="1" x="58"/>
        <item m="1" x="29"/>
        <item m="1" x="74"/>
        <item m="1" x="17"/>
        <item m="1" x="27"/>
        <item m="1" x="30"/>
        <item m="1" x="5"/>
        <item m="1" x="18"/>
        <item m="1" x="31"/>
        <item m="1" x="22"/>
        <item m="1" x="61"/>
        <item m="1" x="59"/>
        <item m="1" x="40"/>
        <item m="1" x="39"/>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3">
        <item x="0"/>
        <item m="1" x="10"/>
        <item m="1" x="8"/>
        <item m="1" x="12"/>
        <item m="1" x="5"/>
        <item m="1" x="3"/>
        <item m="1" x="2"/>
        <item m="1" x="11"/>
        <item m="1" x="6"/>
        <item m="1" x="4"/>
        <item m="1" x="7"/>
        <item m="1" x="9"/>
        <item m="1" x="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46">
        <item m="1" x="11"/>
        <item m="1" x="25"/>
        <item m="1" x="3"/>
        <item m="1" x="16"/>
        <item m="1" x="30"/>
        <item m="1" x="9"/>
        <item m="1" x="10"/>
        <item m="1" x="18"/>
        <item m="1" x="23"/>
        <item m="1" x="44"/>
        <item m="1" x="19"/>
        <item m="1" x="7"/>
        <item m="1" x="35"/>
        <item m="1" x="41"/>
        <item m="1" x="24"/>
        <item m="1" x="14"/>
        <item m="1" x="42"/>
        <item m="1" x="12"/>
        <item m="1" x="36"/>
        <item m="1" x="6"/>
        <item m="1" x="39"/>
        <item m="1" x="40"/>
        <item m="1" x="38"/>
        <item m="1" x="15"/>
        <item m="1" x="28"/>
        <item m="1" x="20"/>
        <item m="1" x="34"/>
        <item m="1" x="1"/>
        <item m="1" x="31"/>
        <item m="1" x="4"/>
        <item m="1" x="21"/>
        <item m="1" x="37"/>
        <item m="1" x="5"/>
        <item x="0"/>
        <item m="1" x="26"/>
        <item m="1" x="8"/>
        <item m="1" x="22"/>
        <item m="1" x="45"/>
        <item m="1" x="43"/>
        <item m="1" x="27"/>
        <item m="1" x="2"/>
        <item m="1" x="32"/>
        <item m="1" x="13"/>
        <item m="1" x="29"/>
        <item m="1" x="33"/>
        <item m="1" x="1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EAN" axis="axisRow" compact="0" outline="0" subtotalTop="0" showAll="0" defaultSubtotal="0">
      <items count="34">
        <item m="1" x="26"/>
        <item m="1" x="2"/>
        <item m="1" x="12"/>
        <item m="1" x="22"/>
        <item m="1" x="15"/>
        <item m="1" x="5"/>
        <item m="1" x="21"/>
        <item m="1" x="31"/>
        <item m="1" x="25"/>
        <item m="1" x="29"/>
        <item m="1" x="33"/>
        <item m="1" x="23"/>
        <item m="1" x="24"/>
        <item m="1" x="7"/>
        <item m="1" x="30"/>
        <item m="1" x="20"/>
        <item m="1" x="11"/>
        <item m="1" x="6"/>
        <item m="1" x="8"/>
        <item m="1" x="1"/>
        <item m="1" x="19"/>
        <item m="1" x="27"/>
        <item m="1" x="4"/>
        <item m="1" x="13"/>
        <item m="1" x="10"/>
        <item m="1" x="14"/>
        <item m="1" x="9"/>
        <item m="1" x="3"/>
        <item m="1" x="16"/>
        <item m="1" x="17"/>
        <item m="1" x="28"/>
        <item m="1" x="32"/>
        <item m="1" x="18"/>
        <item x="0"/>
      </items>
      <extLst>
        <ext xmlns:x14="http://schemas.microsoft.com/office/spreadsheetml/2009/9/main" uri="{2946ED86-A175-432a-8AC1-64E0C546D7DE}">
          <x14:pivotField fillDownLabels="1"/>
        </ext>
      </extLst>
    </pivotField>
    <pivotField compact="0" numFmtId="14" outline="0" subtotalTop="0" showAll="0" defaultSubtotal="0">
      <items count="33">
        <item m="1" x="22"/>
        <item m="1" x="21"/>
        <item m="1" x="7"/>
        <item m="1" x="28"/>
        <item m="1" x="11"/>
        <item m="1" x="6"/>
        <item m="1" x="26"/>
        <item m="1" x="10"/>
        <item m="1" x="24"/>
        <item m="1" x="4"/>
        <item m="1" x="19"/>
        <item m="1" x="32"/>
        <item m="1" x="8"/>
        <item m="1" x="23"/>
        <item m="1" x="1"/>
        <item m="1" x="17"/>
        <item m="1" x="30"/>
        <item m="1" x="3"/>
        <item m="1" x="18"/>
        <item m="1" x="12"/>
        <item m="1" x="25"/>
        <item m="1" x="13"/>
        <item m="1" x="20"/>
        <item m="1" x="9"/>
        <item m="1" x="16"/>
        <item m="1" x="5"/>
        <item m="1" x="15"/>
        <item m="1" x="29"/>
        <item m="1" x="27"/>
        <item m="1" x="2"/>
        <item m="1" x="14"/>
        <item m="1" x="3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7">
        <item h="1" m="1" x="2"/>
        <item h="1" m="1" x="1"/>
        <item h="1" m="1" x="4"/>
        <item m="1" x="6"/>
        <item h="1" m="1" x="5"/>
        <item h="1" x="0"/>
        <item h="1" m="1"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84">
        <item m="1" x="49"/>
        <item m="1" x="45"/>
        <item m="1" x="21"/>
        <item m="1" x="72"/>
        <item m="1" x="43"/>
        <item m="1" x="26"/>
        <item m="1" x="38"/>
        <item m="1" x="16"/>
        <item m="1" x="52"/>
        <item m="1" x="42"/>
        <item m="1" x="58"/>
        <item m="1" x="30"/>
        <item m="1" x="44"/>
        <item m="1" x="47"/>
        <item m="1" x="41"/>
        <item m="1" x="31"/>
        <item m="1" x="40"/>
        <item m="1" x="32"/>
        <item m="1" x="7"/>
        <item m="1" x="69"/>
        <item m="1" x="65"/>
        <item m="1" x="13"/>
        <item m="1" x="25"/>
        <item m="1" x="15"/>
        <item m="1" x="74"/>
        <item m="1" x="51"/>
        <item m="1" x="33"/>
        <item m="1" x="60"/>
        <item m="1" x="54"/>
        <item m="1" x="27"/>
        <item m="1" x="9"/>
        <item m="1" x="83"/>
        <item m="1" x="8"/>
        <item m="1" x="39"/>
        <item m="1" x="3"/>
        <item m="1" x="18"/>
        <item m="1" x="17"/>
        <item m="1" x="81"/>
        <item m="1" x="20"/>
        <item m="1" x="6"/>
        <item m="1" x="5"/>
        <item m="1" x="66"/>
        <item m="1" x="14"/>
        <item m="1" x="71"/>
        <item m="1" x="80"/>
        <item m="1" x="68"/>
        <item m="1" x="63"/>
        <item m="1" x="82"/>
        <item m="1" x="48"/>
        <item m="1" x="46"/>
        <item m="1" x="2"/>
        <item m="1" x="23"/>
        <item m="1" x="22"/>
        <item m="1" x="35"/>
        <item m="1" x="78"/>
        <item m="1" x="37"/>
        <item m="1" x="55"/>
        <item m="1" x="11"/>
        <item m="1" x="70"/>
        <item m="1" x="73"/>
        <item m="1" x="1"/>
        <item m="1" x="12"/>
        <item m="1" x="4"/>
        <item m="1" x="50"/>
        <item m="1" x="79"/>
        <item m="1" x="34"/>
        <item m="1" x="62"/>
        <item m="1" x="76"/>
        <item m="1" x="28"/>
        <item m="1" x="59"/>
        <item m="1" x="10"/>
        <item m="1" x="36"/>
        <item m="1" x="53"/>
        <item m="1" x="24"/>
        <item m="1" x="64"/>
        <item m="1" x="57"/>
        <item m="1" x="77"/>
        <item m="1" x="19"/>
        <item m="1" x="75"/>
        <item m="1" x="61"/>
        <item m="1" x="29"/>
        <item m="1" x="56"/>
        <item m="1" x="67"/>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s>
  <rowFields count="5">
    <field x="10"/>
    <field x="9"/>
    <field x="14"/>
    <field x="18"/>
    <field x="16"/>
  </rowFields>
  <rowItems count="1">
    <i t="grand">
      <x/>
    </i>
  </rowItems>
  <colItems count="1">
    <i/>
  </colItems>
  <pageFields count="1">
    <pageField fld="67" hier="-1"/>
  </pageFields>
  <dataFields count="1">
    <dataField name="Sum of Sin Despacho" fld="71" baseField="0" baseItem="0"/>
  </dataFields>
  <formats count="47">
    <format dxfId="98">
      <pivotArea outline="0" collapsedLevelsAreSubtotals="1" fieldPosition="0"/>
    </format>
    <format dxfId="97">
      <pivotArea field="67" type="button" dataOnly="0" labelOnly="1" outline="0" axis="axisPage" fieldPosition="0"/>
    </format>
    <format dxfId="96">
      <pivotArea type="origin" dataOnly="0" labelOnly="1" outline="0" fieldPosition="0"/>
    </format>
    <format dxfId="95">
      <pivotArea type="all" dataOnly="0" outline="0" fieldPosition="0"/>
    </format>
    <format dxfId="94">
      <pivotArea type="origin" dataOnly="0" labelOnly="1" outline="0" fieldPosition="0"/>
    </format>
    <format dxfId="93">
      <pivotArea field="9" type="button" dataOnly="0" labelOnly="1" outline="0" axis="axisRow" fieldPosition="1"/>
    </format>
    <format dxfId="92">
      <pivotArea field="10" type="button" dataOnly="0" labelOnly="1" outline="0" axis="axisRow" fieldPosition="0"/>
    </format>
    <format dxfId="91">
      <pivotArea field="18" type="button" dataOnly="0" labelOnly="1" outline="0" axis="axisRow" fieldPosition="3"/>
    </format>
    <format dxfId="90">
      <pivotArea field="14" type="button" dataOnly="0" labelOnly="1" outline="0" axis="axisRow" fieldPosition="2"/>
    </format>
    <format dxfId="89">
      <pivotArea field="69" type="button" dataOnly="0" labelOnly="1" outline="0"/>
    </format>
    <format dxfId="88">
      <pivotArea field="16" type="button" dataOnly="0" labelOnly="1" outline="0" axis="axisRow" fieldPosition="4"/>
    </format>
    <format dxfId="87">
      <pivotArea dataOnly="0" labelOnly="1" grandRow="1" outline="0" fieldPosition="0"/>
    </format>
    <format dxfId="86">
      <pivotArea type="topRight" dataOnly="0" labelOnly="1" outline="0" fieldPosition="0"/>
    </format>
    <format dxfId="85">
      <pivotArea field="18" type="button" dataOnly="0" labelOnly="1" outline="0" axis="axisRow" fieldPosition="3"/>
    </format>
    <format dxfId="84">
      <pivotArea outline="0" collapsedLevelsAreSubtotals="1" fieldPosition="0"/>
    </format>
    <format dxfId="83">
      <pivotArea field="2" type="button" dataOnly="0" labelOnly="1" outline="0"/>
    </format>
    <format dxfId="82">
      <pivotArea field="9" type="button" dataOnly="0" labelOnly="1" outline="0" axis="axisRow" fieldPosition="1"/>
    </format>
    <format dxfId="81">
      <pivotArea field="10" type="button" dataOnly="0" labelOnly="1" outline="0" axis="axisRow" fieldPosition="0"/>
    </format>
    <format dxfId="80">
      <pivotArea field="18" type="button" dataOnly="0" labelOnly="1" outline="0" axis="axisRow" fieldPosition="3"/>
    </format>
    <format dxfId="79">
      <pivotArea field="14" type="button" dataOnly="0" labelOnly="1" outline="0" axis="axisRow" fieldPosition="2"/>
    </format>
    <format dxfId="78">
      <pivotArea field="69" type="button" dataOnly="0" labelOnly="1" outline="0"/>
    </format>
    <format dxfId="77">
      <pivotArea field="16" type="button" dataOnly="0" labelOnly="1" outline="0" axis="axisRow" fieldPosition="4"/>
    </format>
    <format dxfId="76">
      <pivotArea type="all" dataOnly="0" outline="0" fieldPosition="0"/>
    </format>
    <format dxfId="75">
      <pivotArea outline="0" collapsedLevelsAreSubtotals="1" fieldPosition="0"/>
    </format>
    <format dxfId="74">
      <pivotArea type="origin" dataOnly="0" labelOnly="1" outline="0" fieldPosition="0"/>
    </format>
    <format dxfId="73">
      <pivotArea field="2" type="button" dataOnly="0" labelOnly="1" outline="0"/>
    </format>
    <format dxfId="72">
      <pivotArea field="9" type="button" dataOnly="0" labelOnly="1" outline="0" axis="axisRow" fieldPosition="1"/>
    </format>
    <format dxfId="71">
      <pivotArea field="10" type="button" dataOnly="0" labelOnly="1" outline="0" axis="axisRow" fieldPosition="0"/>
    </format>
    <format dxfId="70">
      <pivotArea field="18" type="button" dataOnly="0" labelOnly="1" outline="0" axis="axisRow" fieldPosition="3"/>
    </format>
    <format dxfId="69">
      <pivotArea field="14" type="button" dataOnly="0" labelOnly="1" outline="0" axis="axisRow" fieldPosition="2"/>
    </format>
    <format dxfId="68">
      <pivotArea field="69" type="button" dataOnly="0" labelOnly="1" outline="0"/>
    </format>
    <format dxfId="67">
      <pivotArea field="16" type="button" dataOnly="0" labelOnly="1" outline="0" axis="axisRow" fieldPosition="4"/>
    </format>
    <format dxfId="66">
      <pivotArea dataOnly="0" labelOnly="1" grandRow="1" outline="0" fieldPosition="0"/>
    </format>
    <format dxfId="65">
      <pivotArea type="topRight" dataOnly="0" labelOnly="1" outline="0" fieldPosition="0"/>
    </format>
    <format dxfId="64">
      <pivotArea type="all" dataOnly="0" outline="0" fieldPosition="0"/>
    </format>
    <format dxfId="63">
      <pivotArea outline="0" collapsedLevelsAreSubtotals="1" fieldPosition="0"/>
    </format>
    <format dxfId="62">
      <pivotArea type="origin" dataOnly="0" labelOnly="1" outline="0" fieldPosition="0"/>
    </format>
    <format dxfId="61">
      <pivotArea field="2" type="button" dataOnly="0" labelOnly="1" outline="0"/>
    </format>
    <format dxfId="60">
      <pivotArea field="9" type="button" dataOnly="0" labelOnly="1" outline="0" axis="axisRow" fieldPosition="1"/>
    </format>
    <format dxfId="59">
      <pivotArea field="10" type="button" dataOnly="0" labelOnly="1" outline="0" axis="axisRow" fieldPosition="0"/>
    </format>
    <format dxfId="58">
      <pivotArea field="18" type="button" dataOnly="0" labelOnly="1" outline="0" axis="axisRow" fieldPosition="3"/>
    </format>
    <format dxfId="57">
      <pivotArea field="14" type="button" dataOnly="0" labelOnly="1" outline="0" axis="axisRow" fieldPosition="2"/>
    </format>
    <format dxfId="56">
      <pivotArea field="69" type="button" dataOnly="0" labelOnly="1" outline="0"/>
    </format>
    <format dxfId="55">
      <pivotArea field="16" type="button" dataOnly="0" labelOnly="1" outline="0" axis="axisRow" fieldPosition="4"/>
    </format>
    <format dxfId="54">
      <pivotArea dataOnly="0" labelOnly="1" grandRow="1" outline="0" fieldPosition="0"/>
    </format>
    <format dxfId="53">
      <pivotArea type="topRight" dataOnly="0" labelOnly="1" outline="0" fieldPosition="0"/>
    </format>
    <format dxfId="52">
      <pivotArea type="origin" dataOnly="0" labelOnly="1" outline="0"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DiferenciaPrecio" cacheId="0" applyNumberFormats="0" applyBorderFormats="0" applyFontFormats="0" applyPatternFormats="0" applyAlignmentFormats="0" applyWidthHeightFormats="1" dataCaption="Valores" updatedVersion="8" minRefreshableVersion="3" itemPrintTitles="1" createdVersion="7" indent="0" compact="0" compactData="0" gridDropZones="1" multipleFieldFilters="0">
  <location ref="B5:H7" firstHeaderRow="2" firstDataRow="2" firstDataCol="6"/>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4">
        <item m="1" x="2"/>
        <item m="1" x="1"/>
        <item x="0"/>
        <item m="1"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6">
        <item m="1" x="4"/>
        <item m="1" x="5"/>
        <item m="1" x="2"/>
        <item m="1" x="3"/>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Pedido" axis="axisRow" compact="0" outline="0" subtotalTop="0" showAll="0" defaultSubtotal="0">
      <items count="5">
        <item x="0"/>
        <item m="1" x="3"/>
        <item m="1" x="1"/>
        <item m="1" x="2"/>
        <item m="1" x="4"/>
      </items>
      <extLst>
        <ext xmlns:x14="http://schemas.microsoft.com/office/spreadsheetml/2009/9/main" uri="{2946ED86-A175-432a-8AC1-64E0C546D7DE}">
          <x14:pivotField fillDownLabels="1"/>
        </ext>
      </extLst>
    </pivotField>
    <pivotField name="Orden de Compra" axis="axisRow" compact="0" outline="0" subtotalTop="0" showAll="0" defaultSubtotal="0">
      <items count="78">
        <item m="1" x="10"/>
        <item m="1" x="33"/>
        <item m="1" x="46"/>
        <item m="1" x="66"/>
        <item m="1" x="60"/>
        <item m="1" x="76"/>
        <item m="1" x="19"/>
        <item m="1" x="2"/>
        <item m="1" x="14"/>
        <item m="1" x="23"/>
        <item m="1" x="24"/>
        <item m="1" x="25"/>
        <item m="1" x="26"/>
        <item m="1" x="62"/>
        <item m="1" x="63"/>
        <item m="1" x="64"/>
        <item m="1" x="65"/>
        <item m="1" x="32"/>
        <item m="1" x="34"/>
        <item m="1" x="36"/>
        <item m="1" x="37"/>
        <item m="1" x="6"/>
        <item m="1" x="9"/>
        <item m="1" x="49"/>
        <item m="1" x="50"/>
        <item m="1" x="68"/>
        <item m="1" x="71"/>
        <item m="1" x="72"/>
        <item m="1" x="75"/>
        <item m="1" x="11"/>
        <item m="1" x="51"/>
        <item m="1" x="52"/>
        <item m="1" x="53"/>
        <item m="1" x="41"/>
        <item m="1" x="43"/>
        <item m="1" x="15"/>
        <item m="1" x="16"/>
        <item m="1" x="42"/>
        <item m="1" x="45"/>
        <item m="1" x="47"/>
        <item m="1" x="48"/>
        <item m="1" x="12"/>
        <item m="1" x="13"/>
        <item m="1" x="55"/>
        <item m="1" x="57"/>
        <item m="1" x="1"/>
        <item m="1" x="3"/>
        <item m="1" x="4"/>
        <item m="1" x="44"/>
        <item m="1" x="20"/>
        <item m="1" x="21"/>
        <item m="1" x="67"/>
        <item m="1" x="69"/>
        <item m="1" x="73"/>
        <item m="1" x="35"/>
        <item m="1" x="54"/>
        <item m="1" x="56"/>
        <item m="1" x="7"/>
        <item m="1" x="8"/>
        <item m="1" x="28"/>
        <item m="1" x="77"/>
        <item m="1" x="70"/>
        <item m="1" x="38"/>
        <item m="1" x="58"/>
        <item m="1" x="29"/>
        <item m="1" x="74"/>
        <item m="1" x="17"/>
        <item m="1" x="27"/>
        <item m="1" x="30"/>
        <item m="1" x="5"/>
        <item m="1" x="18"/>
        <item m="1" x="31"/>
        <item m="1" x="22"/>
        <item m="1" x="61"/>
        <item m="1" x="59"/>
        <item m="1" x="40"/>
        <item m="1" x="39"/>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3">
        <item x="0"/>
        <item m="1" x="10"/>
        <item m="1" x="8"/>
        <item m="1" x="12"/>
        <item m="1" x="5"/>
        <item m="1" x="3"/>
        <item m="1" x="2"/>
        <item m="1" x="11"/>
        <item m="1" x="6"/>
        <item m="1" x="4"/>
        <item m="1" x="7"/>
        <item m="1" x="9"/>
        <item m="1" x="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46">
        <item m="1" x="11"/>
        <item m="1" x="25"/>
        <item m="1" x="3"/>
        <item m="1" x="16"/>
        <item m="1" x="30"/>
        <item m="1" x="9"/>
        <item m="1" x="10"/>
        <item m="1" x="18"/>
        <item m="1" x="23"/>
        <item m="1" x="44"/>
        <item m="1" x="19"/>
        <item m="1" x="7"/>
        <item m="1" x="35"/>
        <item m="1" x="41"/>
        <item m="1" x="24"/>
        <item m="1" x="14"/>
        <item m="1" x="42"/>
        <item m="1" x="12"/>
        <item m="1" x="36"/>
        <item m="1" x="6"/>
        <item m="1" x="39"/>
        <item m="1" x="40"/>
        <item m="1" x="38"/>
        <item m="1" x="15"/>
        <item m="1" x="28"/>
        <item m="1" x="20"/>
        <item m="1" x="34"/>
        <item m="1" x="1"/>
        <item m="1" x="31"/>
        <item m="1" x="4"/>
        <item m="1" x="21"/>
        <item m="1" x="37"/>
        <item m="1" x="5"/>
        <item x="0"/>
        <item m="1" x="26"/>
        <item m="1" x="8"/>
        <item m="1" x="22"/>
        <item m="1" x="45"/>
        <item m="1" x="43"/>
        <item m="1" x="27"/>
        <item m="1" x="2"/>
        <item m="1" x="32"/>
        <item m="1" x="13"/>
        <item m="1" x="29"/>
        <item m="1" x="33"/>
        <item m="1" x="1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EAN" axis="axisRow" compact="0" outline="0" subtotalTop="0" showAll="0" defaultSubtotal="0">
      <items count="34">
        <item m="1" x="26"/>
        <item m="1" x="2"/>
        <item m="1" x="12"/>
        <item m="1" x="22"/>
        <item m="1" x="15"/>
        <item m="1" x="5"/>
        <item m="1" x="21"/>
        <item m="1" x="31"/>
        <item m="1" x="25"/>
        <item m="1" x="29"/>
        <item m="1" x="33"/>
        <item m="1" x="23"/>
        <item m="1" x="24"/>
        <item m="1" x="7"/>
        <item m="1" x="30"/>
        <item m="1" x="20"/>
        <item m="1" x="11"/>
        <item m="1" x="6"/>
        <item m="1" x="8"/>
        <item m="1" x="1"/>
        <item m="1" x="19"/>
        <item m="1" x="27"/>
        <item m="1" x="4"/>
        <item m="1" x="13"/>
        <item m="1" x="10"/>
        <item m="1" x="14"/>
        <item m="1" x="9"/>
        <item m="1" x="3"/>
        <item m="1" x="16"/>
        <item m="1" x="17"/>
        <item m="1" x="28"/>
        <item m="1" x="32"/>
        <item m="1" x="18"/>
        <item x="0"/>
      </items>
      <extLst>
        <ext xmlns:x14="http://schemas.microsoft.com/office/spreadsheetml/2009/9/main" uri="{2946ED86-A175-432a-8AC1-64E0C546D7DE}">
          <x14:pivotField fillDownLabels="1"/>
        </ext>
      </extLst>
    </pivotField>
    <pivotField compact="0" numFmtId="14" outline="0" subtotalTop="0" showAll="0" defaultSubtotal="0">
      <items count="33">
        <item m="1" x="22"/>
        <item m="1" x="21"/>
        <item m="1" x="7"/>
        <item m="1" x="28"/>
        <item m="1" x="11"/>
        <item m="1" x="6"/>
        <item m="1" x="26"/>
        <item m="1" x="10"/>
        <item m="1" x="24"/>
        <item m="1" x="4"/>
        <item m="1" x="19"/>
        <item m="1" x="32"/>
        <item m="1" x="8"/>
        <item m="1" x="23"/>
        <item m="1" x="1"/>
        <item m="1" x="17"/>
        <item m="1" x="30"/>
        <item m="1" x="3"/>
        <item m="1" x="18"/>
        <item m="1" x="12"/>
        <item m="1" x="25"/>
        <item m="1" x="13"/>
        <item m="1" x="20"/>
        <item m="1" x="9"/>
        <item m="1" x="16"/>
        <item m="1" x="5"/>
        <item m="1" x="15"/>
        <item m="1" x="29"/>
        <item m="1" x="27"/>
        <item m="1" x="2"/>
        <item m="1" x="14"/>
        <item m="1" x="3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multipleItemSelectionAllowed="1" showAll="0" defaultSubtotal="0">
      <items count="7">
        <item h="1" m="1" x="2"/>
        <item h="1" m="1" x="1"/>
        <item h="1" m="1" x="4"/>
        <item m="1" x="6"/>
        <item h="1" m="1" x="5"/>
        <item h="1" x="0"/>
        <item h="1" m="1"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84">
        <item m="1" x="49"/>
        <item m="1" x="45"/>
        <item m="1" x="21"/>
        <item m="1" x="72"/>
        <item m="1" x="43"/>
        <item m="1" x="26"/>
        <item m="1" x="38"/>
        <item m="1" x="16"/>
        <item m="1" x="52"/>
        <item m="1" x="42"/>
        <item m="1" x="58"/>
        <item m="1" x="30"/>
        <item m="1" x="44"/>
        <item m="1" x="47"/>
        <item m="1" x="41"/>
        <item m="1" x="31"/>
        <item m="1" x="40"/>
        <item m="1" x="32"/>
        <item m="1" x="7"/>
        <item m="1" x="69"/>
        <item m="1" x="65"/>
        <item m="1" x="13"/>
        <item m="1" x="25"/>
        <item m="1" x="15"/>
        <item m="1" x="74"/>
        <item m="1" x="51"/>
        <item m="1" x="33"/>
        <item m="1" x="60"/>
        <item m="1" x="54"/>
        <item m="1" x="27"/>
        <item m="1" x="9"/>
        <item m="1" x="83"/>
        <item m="1" x="8"/>
        <item m="1" x="39"/>
        <item m="1" x="3"/>
        <item m="1" x="18"/>
        <item m="1" x="17"/>
        <item m="1" x="81"/>
        <item m="1" x="20"/>
        <item m="1" x="6"/>
        <item m="1" x="5"/>
        <item m="1" x="66"/>
        <item m="1" x="14"/>
        <item m="1" x="71"/>
        <item m="1" x="80"/>
        <item m="1" x="68"/>
        <item m="1" x="63"/>
        <item m="1" x="82"/>
        <item m="1" x="48"/>
        <item m="1" x="46"/>
        <item m="1" x="2"/>
        <item m="1" x="23"/>
        <item m="1" x="22"/>
        <item m="1" x="35"/>
        <item m="1" x="78"/>
        <item m="1" x="37"/>
        <item m="1" x="55"/>
        <item m="1" x="11"/>
        <item m="1" x="70"/>
        <item m="1" x="73"/>
        <item m="1" x="1"/>
        <item m="1" x="12"/>
        <item m="1" x="4"/>
        <item m="1" x="50"/>
        <item m="1" x="79"/>
        <item m="1" x="34"/>
        <item m="1" x="62"/>
        <item m="1" x="76"/>
        <item m="1" x="28"/>
        <item m="1" x="59"/>
        <item m="1" x="10"/>
        <item m="1" x="36"/>
        <item m="1" x="53"/>
        <item m="1" x="24"/>
        <item m="1" x="64"/>
        <item m="1" x="57"/>
        <item m="1" x="77"/>
        <item m="1" x="19"/>
        <item m="1" x="75"/>
        <item m="1" x="61"/>
        <item m="1" x="29"/>
        <item m="1" x="56"/>
        <item m="1" x="67"/>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s>
  <rowFields count="6">
    <field x="67"/>
    <field x="10"/>
    <field x="9"/>
    <field x="14"/>
    <field x="18"/>
    <field x="16"/>
  </rowFields>
  <rowItems count="1">
    <i t="grand">
      <x/>
    </i>
  </rowItems>
  <colItems count="1">
    <i/>
  </colItems>
  <dataFields count="1">
    <dataField name="Sum of Sin Despacho" fld="71" baseField="0" baseItem="0"/>
  </dataFields>
  <formats count="47">
    <format dxfId="51">
      <pivotArea outline="0" collapsedLevelsAreSubtotals="1" fieldPosition="0"/>
    </format>
    <format dxfId="50">
      <pivotArea field="67" type="button" dataOnly="0" labelOnly="1" outline="0" axis="axisRow" fieldPosition="0"/>
    </format>
    <format dxfId="49">
      <pivotArea type="origin" dataOnly="0" labelOnly="1" outline="0" fieldPosition="0"/>
    </format>
    <format dxfId="48">
      <pivotArea type="all" dataOnly="0" outline="0" fieldPosition="0"/>
    </format>
    <format dxfId="47">
      <pivotArea type="origin" dataOnly="0" labelOnly="1" outline="0" fieldPosition="0"/>
    </format>
    <format dxfId="46">
      <pivotArea field="9" type="button" dataOnly="0" labelOnly="1" outline="0" axis="axisRow" fieldPosition="2"/>
    </format>
    <format dxfId="45">
      <pivotArea field="10" type="button" dataOnly="0" labelOnly="1" outline="0" axis="axisRow" fieldPosition="1"/>
    </format>
    <format dxfId="44">
      <pivotArea field="18" type="button" dataOnly="0" labelOnly="1" outline="0" axis="axisRow" fieldPosition="4"/>
    </format>
    <format dxfId="43">
      <pivotArea field="14" type="button" dataOnly="0" labelOnly="1" outline="0" axis="axisRow" fieldPosition="3"/>
    </format>
    <format dxfId="42">
      <pivotArea field="69" type="button" dataOnly="0" labelOnly="1" outline="0"/>
    </format>
    <format dxfId="41">
      <pivotArea field="16" type="button" dataOnly="0" labelOnly="1" outline="0" axis="axisRow" fieldPosition="5"/>
    </format>
    <format dxfId="40">
      <pivotArea dataOnly="0" labelOnly="1" grandRow="1" outline="0" fieldPosition="0"/>
    </format>
    <format dxfId="39">
      <pivotArea type="topRight" dataOnly="0" labelOnly="1" outline="0" fieldPosition="0"/>
    </format>
    <format dxfId="38">
      <pivotArea field="18" type="button" dataOnly="0" labelOnly="1" outline="0" axis="axisRow" fieldPosition="4"/>
    </format>
    <format dxfId="37">
      <pivotArea outline="0" collapsedLevelsAreSubtotals="1" fieldPosition="0"/>
    </format>
    <format dxfId="36">
      <pivotArea field="2" type="button" dataOnly="0" labelOnly="1" outline="0"/>
    </format>
    <format dxfId="35">
      <pivotArea field="9" type="button" dataOnly="0" labelOnly="1" outline="0" axis="axisRow" fieldPosition="2"/>
    </format>
    <format dxfId="34">
      <pivotArea field="10" type="button" dataOnly="0" labelOnly="1" outline="0" axis="axisRow" fieldPosition="1"/>
    </format>
    <format dxfId="33">
      <pivotArea field="18" type="button" dataOnly="0" labelOnly="1" outline="0" axis="axisRow" fieldPosition="4"/>
    </format>
    <format dxfId="32">
      <pivotArea field="14" type="button" dataOnly="0" labelOnly="1" outline="0" axis="axisRow" fieldPosition="3"/>
    </format>
    <format dxfId="31">
      <pivotArea field="69" type="button" dataOnly="0" labelOnly="1" outline="0"/>
    </format>
    <format dxfId="30">
      <pivotArea field="16" type="button" dataOnly="0" labelOnly="1" outline="0" axis="axisRow" fieldPosition="5"/>
    </format>
    <format dxfId="29">
      <pivotArea type="all" dataOnly="0" outline="0" fieldPosition="0"/>
    </format>
    <format dxfId="28">
      <pivotArea outline="0" collapsedLevelsAreSubtotals="1" fieldPosition="0"/>
    </format>
    <format dxfId="27">
      <pivotArea type="origin" dataOnly="0" labelOnly="1" outline="0" fieldPosition="0"/>
    </format>
    <format dxfId="26">
      <pivotArea field="2" type="button" dataOnly="0" labelOnly="1" outline="0"/>
    </format>
    <format dxfId="25">
      <pivotArea field="9" type="button" dataOnly="0" labelOnly="1" outline="0" axis="axisRow" fieldPosition="2"/>
    </format>
    <format dxfId="24">
      <pivotArea field="10" type="button" dataOnly="0" labelOnly="1" outline="0" axis="axisRow" fieldPosition="1"/>
    </format>
    <format dxfId="23">
      <pivotArea field="18" type="button" dataOnly="0" labelOnly="1" outline="0" axis="axisRow" fieldPosition="4"/>
    </format>
    <format dxfId="22">
      <pivotArea field="14" type="button" dataOnly="0" labelOnly="1" outline="0" axis="axisRow" fieldPosition="3"/>
    </format>
    <format dxfId="21">
      <pivotArea field="69" type="button" dataOnly="0" labelOnly="1" outline="0"/>
    </format>
    <format dxfId="20">
      <pivotArea field="16" type="button" dataOnly="0" labelOnly="1" outline="0" axis="axisRow" fieldPosition="5"/>
    </format>
    <format dxfId="19">
      <pivotArea dataOnly="0" labelOnly="1" grandRow="1" outline="0" fieldPosition="0"/>
    </format>
    <format dxfId="18">
      <pivotArea type="topRight" dataOnly="0" labelOnly="1" outline="0" fieldPosition="0"/>
    </format>
    <format dxfId="17">
      <pivotArea type="all" dataOnly="0" outline="0" fieldPosition="0"/>
    </format>
    <format dxfId="16">
      <pivotArea outline="0" collapsedLevelsAreSubtotals="1" fieldPosition="0"/>
    </format>
    <format dxfId="15">
      <pivotArea type="origin" dataOnly="0" labelOnly="1" outline="0" fieldPosition="0"/>
    </format>
    <format dxfId="14">
      <pivotArea field="2" type="button" dataOnly="0" labelOnly="1" outline="0"/>
    </format>
    <format dxfId="13">
      <pivotArea field="9" type="button" dataOnly="0" labelOnly="1" outline="0" axis="axisRow" fieldPosition="2"/>
    </format>
    <format dxfId="12">
      <pivotArea field="10" type="button" dataOnly="0" labelOnly="1" outline="0" axis="axisRow" fieldPosition="1"/>
    </format>
    <format dxfId="11">
      <pivotArea field="18" type="button" dataOnly="0" labelOnly="1" outline="0" axis="axisRow" fieldPosition="4"/>
    </format>
    <format dxfId="10">
      <pivotArea field="14" type="button" dataOnly="0" labelOnly="1" outline="0" axis="axisRow" fieldPosition="3"/>
    </format>
    <format dxfId="9">
      <pivotArea field="69" type="button" dataOnly="0" labelOnly="1" outline="0"/>
    </format>
    <format dxfId="8">
      <pivotArea field="16" type="button" dataOnly="0" labelOnly="1" outline="0" axis="axisRow" fieldPosition="5"/>
    </format>
    <format dxfId="7">
      <pivotArea dataOnly="0" labelOnly="1" grandRow="1" outline="0" fieldPosition="0"/>
    </format>
    <format dxfId="6">
      <pivotArea type="topRight" dataOnly="0" labelOnly="1" outline="0" fieldPosition="0"/>
    </format>
    <format dxfId="5">
      <pivotArea type="origin" dataOnly="0" labelOnly="1" outline="0"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To___City" xr10:uid="{00000000-0013-0000-FFFF-FFFF01000000}" sourceName="Ship To - City">
  <pivotTables>
    <pivotTable tabId="3" name="FillRate"/>
    <pivotTable tabId="26" name="DiferenciaPrecio"/>
    <pivotTable tabId="24" name="Agotado"/>
    <pivotTable tabId="25" name="Descontinuado"/>
    <pivotTable tabId="9" name="SinNovedad"/>
    <pivotTable tabId="27" name="DiferenciaPrecio"/>
  </pivotTables>
  <data>
    <tabular pivotCacheId="80174994">
      <items count="6">
        <i x="4" s="1" nd="1"/>
        <i x="5" s="1" nd="1"/>
        <i x="2" s="1" nd="1"/>
        <i x="3" s="1" nd="1"/>
        <i x="1" s="1" nd="1"/>
        <i x="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Doc._Creation" xr10:uid="{00000000-0013-0000-FFFF-FFFF02000000}" sourceName="Sales Doc. Creation">
  <pivotTables>
    <pivotTable tabId="3" name="FillRate"/>
    <pivotTable tabId="26" name="DiferenciaPrecio"/>
    <pivotTable tabId="24" name="Agotado"/>
    <pivotTable tabId="25" name="Descontinuado"/>
    <pivotTable tabId="9" name="SinNovedad"/>
    <pivotTable tabId="27" name="DiferenciaPrecio"/>
  </pivotTables>
  <data>
    <tabular pivotCacheId="80174994">
      <items count="33">
        <i x="22" s="1" nd="1"/>
        <i x="21" s="1" nd="1"/>
        <i x="7" s="1" nd="1"/>
        <i x="28" s="1" nd="1"/>
        <i x="11" s="1" nd="1"/>
        <i x="6" s="1" nd="1"/>
        <i x="26" s="1" nd="1"/>
        <i x="10" s="1" nd="1"/>
        <i x="24" s="1" nd="1"/>
        <i x="4" s="1" nd="1"/>
        <i x="19" s="1" nd="1"/>
        <i x="32" s="1" nd="1"/>
        <i x="8" s="1" nd="1"/>
        <i x="23" s="1" nd="1"/>
        <i x="1" s="1" nd="1"/>
        <i x="17" s="1" nd="1"/>
        <i x="30" s="1" nd="1"/>
        <i x="3" s="1" nd="1"/>
        <i x="18" s="1" nd="1"/>
        <i x="12" s="1" nd="1"/>
        <i x="25" s="1" nd="1"/>
        <i x="13" s="1" nd="1"/>
        <i x="20" s="1" nd="1"/>
        <i x="9" s="1" nd="1"/>
        <i x="16" s="1" nd="1"/>
        <i x="5" s="1" nd="1"/>
        <i x="15" s="1" nd="1"/>
        <i x="29" s="1" nd="1"/>
        <i x="27" s="1" nd="1"/>
        <i x="2" s="1" nd="1"/>
        <i x="14" s="1" nd="1"/>
        <i x="31" s="1" nd="1"/>
        <i x="0"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Document" xr10:uid="{00000000-0013-0000-FFFF-FFFF03000000}" sourceName="Sales Document">
  <pivotTables>
    <pivotTable tabId="3" name="FillRate"/>
    <pivotTable tabId="26" name="DiferenciaPrecio"/>
    <pivotTable tabId="27" name="DiferenciaPrecio"/>
    <pivotTable tabId="24" name="Agotado"/>
    <pivotTable tabId="25" name="Descontinuado"/>
    <pivotTable tabId="9" name="SinNovedad"/>
  </pivotTables>
  <data>
    <tabular pivotCacheId="80174994">
      <items count="5">
        <i x="1" s="1" nd="1"/>
        <i x="3" s="1" nd="1"/>
        <i x="2" s="1" nd="1"/>
        <i x="4" s="1" nd="1"/>
        <i x="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To - City" xr10:uid="{00000000-0014-0000-FFFF-FFFF01000000}" cache="Slicer_Ship_To___City" caption="Ship To - City" columnCount="3" style="Opella" rowHeight="241300"/>
  <slicer name="Sales Doc. Creation" xr10:uid="{00000000-0014-0000-FFFF-FFFF02000000}" cache="Slicer_Sales_Doc._Creation" caption="Fecha Frecuencia" style="Opella" rowHeight="241300"/>
  <slicer name="Sales Document" xr10:uid="{00000000-0014-0000-FFFF-FFFF03000000}" cache="Slicer_Sales_Document" caption="No. de Pedido" style="Opella"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BT98" totalsRowShown="0" headerRowDxfId="343" dataDxfId="342">
  <autoFilter ref="A2:BT98" xr:uid="{00000000-0009-0000-0100-000002000000}"/>
  <tableColumns count="72">
    <tableColumn id="1" xr3:uid="{00000000-0010-0000-0000-000001000000}" name="Sales Org" dataDxfId="341"/>
    <tableColumn id="2" xr3:uid="{00000000-0010-0000-0000-000002000000}" name="Company Code" dataDxfId="340"/>
    <tableColumn id="3" xr3:uid="{00000000-0010-0000-0000-000003000000}" name="Canal" dataDxfId="339"/>
    <tableColumn id="4" xr3:uid="{00000000-0010-0000-0000-000004000000}" name="Sold To Name" dataDxfId="338"/>
    <tableColumn id="5" xr3:uid="{00000000-0010-0000-0000-000005000000}" name="Sold To" dataDxfId="337"/>
    <tableColumn id="6" xr3:uid="{00000000-0010-0000-0000-000006000000}" name="Ship To" dataDxfId="336"/>
    <tableColumn id="7" xr3:uid="{00000000-0010-0000-0000-000007000000}" name="Ship To - City" dataDxfId="335"/>
    <tableColumn id="8" xr3:uid="{00000000-0010-0000-0000-000008000000}" name="Ship To - Country" dataDxfId="334"/>
    <tableColumn id="9" xr3:uid="{00000000-0010-0000-0000-000009000000}" name="Document Type" dataDxfId="333"/>
    <tableColumn id="10" xr3:uid="{00000000-0010-0000-0000-00000A000000}" name="Sales Document" dataDxfId="332"/>
    <tableColumn id="11" xr3:uid="{00000000-0010-0000-0000-00000B000000}" name="Customer PO" dataDxfId="331"/>
    <tableColumn id="12" xr3:uid="{00000000-0010-0000-0000-00000C000000}" name="Delivery Doc." dataDxfId="330"/>
    <tableColumn id="13" xr3:uid="{00000000-0010-0000-0000-00000D000000}" name="Invoice Doc." dataDxfId="329"/>
    <tableColumn id="14" xr3:uid="{00000000-0010-0000-0000-00000E000000}" name="Item" dataDxfId="328"/>
    <tableColumn id="15" xr3:uid="{00000000-0010-0000-0000-00000F000000}" name="GMID" dataDxfId="327"/>
    <tableColumn id="16" xr3:uid="{00000000-0010-0000-0000-000010000000}" name="Description" dataDxfId="326"/>
    <tableColumn id="17" xr3:uid="{00000000-0010-0000-0000-000011000000}" name="Local Description" dataDxfId="325"/>
    <tableColumn id="18" xr3:uid="{00000000-0010-0000-0000-000012000000}" name="Family" dataDxfId="324"/>
    <tableColumn id="19" xr3:uid="{00000000-0010-0000-0000-000013000000}" name="EAN Code" dataDxfId="323"/>
    <tableColumn id="20" xr3:uid="{00000000-0010-0000-0000-000014000000}" name="Sales Doc. Creation" dataDxfId="322"/>
    <tableColumn id="21" xr3:uid="{00000000-0010-0000-0000-000015000000}" name="Days Sales order--&gt; Delivery" dataDxfId="321"/>
    <tableColumn id="22" xr3:uid="{00000000-0010-0000-0000-000016000000}" name="Delivery Creation" dataDxfId="320"/>
    <tableColumn id="23" xr3:uid="{00000000-0010-0000-0000-000017000000}" name="Days Delivery --&gt; Good Issue" dataDxfId="319"/>
    <tableColumn id="24" xr3:uid="{00000000-0010-0000-0000-000018000000}" name="Goods Issue" dataDxfId="318"/>
    <tableColumn id="25" xr3:uid="{00000000-0010-0000-0000-000019000000}" name="PGI" dataDxfId="317"/>
    <tableColumn id="26" xr3:uid="{00000000-0010-0000-0000-00001A000000}" name="Days Good issue --&gt; Invoice" dataDxfId="316"/>
    <tableColumn id="27" xr3:uid="{00000000-0010-0000-0000-00001B000000}" name="Invoice" dataDxfId="315"/>
    <tableColumn id="28" xr3:uid="{00000000-0010-0000-0000-00001C000000}" name="POD" dataDxfId="314"/>
    <tableColumn id="29" xr3:uid="{00000000-0010-0000-0000-00001D000000}" name="Req. Delivery" dataDxfId="313"/>
    <tableColumn id="30" xr3:uid="{00000000-0010-0000-0000-00001E000000}" name="Arrange date of arrival" dataDxfId="312"/>
    <tableColumn id="31" xr3:uid="{00000000-0010-0000-0000-00001F000000}" name="Delivery Block" dataDxfId="311"/>
    <tableColumn id="32" xr3:uid="{00000000-0010-0000-0000-000020000000}" name="Rejection Code" dataDxfId="310"/>
    <tableColumn id="33" xr3:uid="{00000000-0010-0000-0000-000021000000}" name="Rejection Reason" dataDxfId="309"/>
    <tableColumn id="34" xr3:uid="{00000000-0010-0000-0000-000022000000}" name="Type" dataDxfId="308"/>
    <tableColumn id="35" xr3:uid="{00000000-0010-0000-0000-000023000000}" name="Ordered" dataDxfId="307"/>
    <tableColumn id="36" xr3:uid="{00000000-0010-0000-0000-000024000000}" name="Invoiced" dataDxfId="306"/>
    <tableColumn id="37" xr3:uid="{00000000-0010-0000-0000-000025000000}" name="Invoiced - BO Retaken" dataDxfId="305"/>
    <tableColumn id="38" xr3:uid="{00000000-0010-0000-0000-000026000000}" name="Invoiced in advance" dataDxfId="304"/>
    <tableColumn id="39" xr3:uid="{00000000-0010-0000-0000-000027000000}" name="Delivered" dataDxfId="303"/>
    <tableColumn id="40" xr3:uid="{00000000-0010-0000-0000-000028000000}" name="To be processed" dataDxfId="302"/>
    <tableColumn id="41" xr3:uid="{00000000-0010-0000-0000-000029000000}" name="To be delivered" dataDxfId="301"/>
    <tableColumn id="42" xr3:uid="{00000000-0010-0000-0000-00002A000000}" name="Picking" dataDxfId="300"/>
    <tableColumn id="43" xr3:uid="{00000000-0010-0000-0000-00002B000000}" name="Backorder" dataDxfId="299"/>
    <tableColumn id="44" xr3:uid="{00000000-0010-0000-0000-00002C000000}" name="Rupture" dataDxfId="298"/>
    <tableColumn id="45" xr3:uid="{00000000-0010-0000-0000-00002D000000}" name="Reorder" dataDxfId="297"/>
    <tableColumn id="46" xr3:uid="{00000000-0010-0000-0000-00002E000000}" name="Stock Allocation" dataDxfId="296"/>
    <tableColumn id="47" xr3:uid="{00000000-0010-0000-0000-00002F000000}" name="Oversales" dataDxfId="295"/>
    <tableColumn id="48" xr3:uid="{00000000-0010-0000-0000-000030000000}" name="Discontinued" dataDxfId="294"/>
    <tableColumn id="49" xr3:uid="{00000000-0010-0000-0000-000031000000}" name="Others RR" dataDxfId="293"/>
    <tableColumn id="50" xr3:uid="{00000000-0010-0000-0000-000032000000}" name="Credit Limit" dataDxfId="292"/>
    <tableColumn id="51" xr3:uid="{00000000-0010-0000-0000-000033000000}" name="Returns" dataDxfId="291"/>
    <tableColumn id="52" xr3:uid="{00000000-0010-0000-0000-000034000000}" name="Without RR" dataDxfId="290"/>
    <tableColumn id="53" xr3:uid="{00000000-0010-0000-0000-000035000000}" name="FR No RR Assigned" dataDxfId="289"/>
    <tableColumn id="63" xr3:uid="{00000000-0010-0000-0000-00003F000000}" name="FR Ordered excluding" dataDxfId="288"/>
    <tableColumn id="72" xr3:uid="{00000000-0010-0000-0000-000048000000}" name="FR Ordered wo excluding" dataDxfId="287"/>
    <tableColumn id="71" xr3:uid="{00000000-0010-0000-0000-000047000000}" name="Invoice Sales" dataDxfId="286"/>
    <tableColumn id="70" xr3:uid="{00000000-0010-0000-0000-000046000000}" name="Masterpack" dataDxfId="285"/>
    <tableColumn id="69" xr3:uid="{00000000-0010-0000-0000-000045000000}" name="Column10" dataDxfId="284"/>
    <tableColumn id="68" xr3:uid="{00000000-0010-0000-0000-000044000000}" name="Column9" dataDxfId="283"/>
    <tableColumn id="67" xr3:uid="{00000000-0010-0000-0000-000043000000}" name="Column8" dataDxfId="282"/>
    <tableColumn id="66" xr3:uid="{00000000-0010-0000-0000-000042000000}" name="Column7" dataDxfId="281"/>
    <tableColumn id="65" xr3:uid="{00000000-0010-0000-0000-000041000000}" name="Column6" dataDxfId="280"/>
    <tableColumn id="64" xr3:uid="{00000000-0010-0000-0000-000040000000}" name="Column5" dataDxfId="279"/>
    <tableColumn id="62" xr3:uid="{00000000-0010-0000-0000-00003E000000}" name="Column4" dataDxfId="278"/>
    <tableColumn id="59" xr3:uid="{00000000-0010-0000-0000-00003B000000}" name="Column3" dataDxfId="277"/>
    <tableColumn id="57" xr3:uid="{00000000-0010-0000-0000-000039000000}" name="Column2" dataDxfId="276"/>
    <tableColumn id="54" xr3:uid="{00000000-0010-0000-0000-000036000000}" name="Column1" dataDxfId="275"/>
    <tableColumn id="55" xr3:uid="{00000000-0010-0000-0000-000037000000}" name="Status" dataDxfId="274"/>
    <tableColumn id="61" xr3:uid="{00000000-0010-0000-0000-00003D000000}" name="KeyPLU" dataDxfId="273"/>
    <tableColumn id="58" xr3:uid="{00000000-0010-0000-0000-00003A000000}" name="PLU" dataDxfId="272"/>
    <tableColumn id="60" xr3:uid="{00000000-0010-0000-0000-00003C000000}" name="Fullbox" dataDxfId="271"/>
    <tableColumn id="56" xr3:uid="{00000000-0010-0000-0000-000038000000}" name="Sin Despacho" dataDxfId="270"/>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B3:D4" totalsRowShown="0" headerRowDxfId="4" dataDxfId="3">
  <tableColumns count="3">
    <tableColumn id="2" xr3:uid="{00000000-0010-0000-0100-000002000000}" name="GMID" dataDxfId="2"/>
    <tableColumn id="4" xr3:uid="{00000000-0010-0000-0100-000004000000}" name="Descripción" dataDxfId="1"/>
    <tableColumn id="5" xr3:uid="{00000000-0010-0000-0100-000005000000}" name="Fecha Estimada de Disponibilidad" dataDxfId="0"/>
  </tableColumns>
  <tableStyleInfo name="TableStyleMedium4"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3.bin"/><Relationship Id="rId1" Type="http://schemas.openxmlformats.org/officeDocument/2006/relationships/printerSettings" Target="../printerSettings/printerSettings8.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98"/>
  <sheetViews>
    <sheetView zoomScale="70" zoomScaleNormal="70" zoomScaleSheetLayoutView="100" workbookViewId="0">
      <selection activeCell="D26" sqref="D26"/>
    </sheetView>
  </sheetViews>
  <sheetFormatPr baseColWidth="10" defaultColWidth="10.85546875" defaultRowHeight="14.25"/>
  <cols>
    <col min="1" max="1" width="13.5703125" style="2" bestFit="1" customWidth="1"/>
    <col min="2" max="2" width="25.140625" style="2" bestFit="1" customWidth="1"/>
    <col min="3" max="3" width="11.7109375" style="2" bestFit="1" customWidth="1"/>
    <col min="4" max="4" width="85.85546875" style="2" bestFit="1" customWidth="1"/>
    <col min="5" max="6" width="11.5703125" style="2" bestFit="1" customWidth="1"/>
    <col min="7" max="7" width="17.28515625" style="2" bestFit="1" customWidth="1"/>
    <col min="8" max="8" width="21.140625" style="2" bestFit="1" customWidth="1"/>
    <col min="9" max="9" width="19.5703125" style="2" bestFit="1" customWidth="1"/>
    <col min="10" max="10" width="20.140625" style="2" bestFit="1" customWidth="1"/>
    <col min="11" max="11" width="17.85546875" style="2" bestFit="1" customWidth="1"/>
    <col min="12" max="12" width="17" style="19" bestFit="1" customWidth="1"/>
    <col min="13" max="13" width="16.28515625" style="2" bestFit="1" customWidth="1"/>
    <col min="14" max="14" width="8.5703125" style="18" bestFit="1" customWidth="1"/>
    <col min="15" max="15" width="9.42578125" style="18" bestFit="1" customWidth="1"/>
    <col min="16" max="16" width="49.28515625" style="2" bestFit="1" customWidth="1"/>
    <col min="17" max="17" width="48.85546875" style="19" bestFit="1" customWidth="1"/>
    <col min="18" max="18" width="17.85546875" style="19" bestFit="1" customWidth="1"/>
    <col min="19" max="19" width="19.85546875" style="18" bestFit="1" customWidth="1"/>
    <col min="20" max="20" width="23.5703125" style="2" bestFit="1" customWidth="1"/>
    <col min="21" max="21" width="21.140625" style="2" bestFit="1" customWidth="1"/>
    <col min="22" max="22" width="16.140625" style="2" bestFit="1" customWidth="1"/>
    <col min="23" max="25" width="13.140625" style="2" bestFit="1" customWidth="1"/>
    <col min="26" max="26" width="17" style="2" bestFit="1" customWidth="1"/>
    <col min="27" max="27" width="26.28515625" style="2" bestFit="1" customWidth="1"/>
    <col min="28" max="28" width="18.140625" style="2" bestFit="1" customWidth="1"/>
    <col min="29" max="29" width="35.140625" style="2" bestFit="1" customWidth="1"/>
    <col min="30" max="30" width="26.140625" style="2" bestFit="1" customWidth="1"/>
    <col min="31" max="31" width="9.140625" style="2" bestFit="1" customWidth="1"/>
    <col min="32" max="32" width="12.140625" style="2" bestFit="1" customWidth="1"/>
    <col min="33" max="33" width="12.28515625" style="2" bestFit="1" customWidth="1"/>
    <col min="34" max="34" width="25.5703125" style="2" bestFit="1" customWidth="1"/>
    <col min="35" max="35" width="23.5703125" style="2" bestFit="1" customWidth="1"/>
    <col min="36" max="36" width="13.5703125" style="2" bestFit="1" customWidth="1"/>
    <col min="37" max="37" width="20.5703125" style="2" bestFit="1" customWidth="1"/>
    <col min="38" max="38" width="19.42578125" style="2" bestFit="1" customWidth="1"/>
    <col min="39" max="39" width="11.42578125" style="2" bestFit="1" customWidth="1"/>
    <col min="40" max="40" width="14.28515625" style="2" bestFit="1" customWidth="1"/>
    <col min="41" max="42" width="12.140625" style="2" bestFit="1" customWidth="1"/>
    <col min="43" max="43" width="20.42578125" style="2" bestFit="1" customWidth="1"/>
    <col min="44" max="44" width="14" style="2" bestFit="1" customWidth="1"/>
    <col min="45" max="45" width="17.140625" style="2" bestFit="1" customWidth="1"/>
    <col min="46" max="46" width="14.140625" style="2" bestFit="1" customWidth="1"/>
    <col min="47" max="47" width="15.7109375" style="2" bestFit="1" customWidth="1"/>
    <col min="48" max="48" width="12" style="2" bestFit="1" customWidth="1"/>
    <col min="49" max="49" width="15.140625" style="2" bestFit="1" customWidth="1"/>
    <col min="50" max="50" width="22.7109375" style="2" bestFit="1" customWidth="1"/>
    <col min="51" max="51" width="25.42578125" style="2" bestFit="1" customWidth="1"/>
    <col min="52" max="52" width="28.7109375" style="2" bestFit="1" customWidth="1"/>
    <col min="53" max="53" width="17.140625" style="2" bestFit="1" customWidth="1"/>
    <col min="54" max="54" width="15.85546875" style="18" bestFit="1" customWidth="1"/>
    <col min="55" max="67" width="15.5703125" style="18" customWidth="1"/>
    <col min="68" max="68" width="19.85546875" style="2" bestFit="1" customWidth="1"/>
    <col min="69" max="69" width="36.85546875" style="2" bestFit="1" customWidth="1"/>
    <col min="70" max="70" width="13.42578125" style="2" bestFit="1" customWidth="1"/>
    <col min="71" max="71" width="11.5703125" style="2" bestFit="1" customWidth="1"/>
    <col min="72" max="72" width="17.5703125" style="18" bestFit="1" customWidth="1"/>
    <col min="73" max="73" width="10.85546875" style="22"/>
    <col min="74" max="16384" width="10.85546875" style="2"/>
  </cols>
  <sheetData>
    <row r="1" spans="1:73">
      <c r="L1" s="2"/>
      <c r="N1" s="2"/>
      <c r="BP1" s="20" t="e">
        <f>+VLOOKUP(Table2[[#This Row],[Rejection Code]],#REF!,3,FALSE)</f>
        <v>#VALUE!</v>
      </c>
      <c r="BQ1" s="21" t="e">
        <f>+Table2[[#This Row],[Sold To]]&amp;Table2[[#This Row],[EAN Code]]&amp;Table2[[#This Row],[Canal]]</f>
        <v>#VALUE!</v>
      </c>
      <c r="BR1" s="20" t="e">
        <f>+VLOOKUP(Table2[[#This Row],[KeyPLU]],#REF!,7,FALSE)</f>
        <v>#VALUE!</v>
      </c>
      <c r="BS1" s="20" t="str">
        <f>+IFERROR(IF(INT(Table2[[#This Row],[Ordered]]/Table2[[#This Row],[Masterpack]])=Table2[[#This Row],[Ordered]]/Table2[[#This Row],[Masterpack]],"Full Box","NO Full Box"),"Sin Datos")</f>
        <v>Sin Datos</v>
      </c>
      <c r="BT1" s="34" t="e">
        <f>+Table2[[#This Row],[Ordered]]-Table2[[#This Row],[Invoice Sales]]</f>
        <v>#VALUE!</v>
      </c>
    </row>
    <row r="2" spans="1:73" s="29" customFormat="1">
      <c r="A2" s="23" t="s">
        <v>16</v>
      </c>
      <c r="B2" s="23" t="s">
        <v>0</v>
      </c>
      <c r="C2" s="23" t="s">
        <v>17</v>
      </c>
      <c r="D2" s="23" t="s">
        <v>18</v>
      </c>
      <c r="E2" s="24" t="s">
        <v>1</v>
      </c>
      <c r="F2" s="23" t="s">
        <v>6</v>
      </c>
      <c r="G2" s="23" t="s">
        <v>19</v>
      </c>
      <c r="H2" s="23" t="s">
        <v>20</v>
      </c>
      <c r="I2" s="23" t="s">
        <v>2</v>
      </c>
      <c r="J2" s="23" t="s">
        <v>3</v>
      </c>
      <c r="K2" s="23" t="s">
        <v>21</v>
      </c>
      <c r="L2" s="23" t="s">
        <v>22</v>
      </c>
      <c r="M2" s="23" t="s">
        <v>23</v>
      </c>
      <c r="N2" s="23" t="s">
        <v>24</v>
      </c>
      <c r="O2" s="25" t="s">
        <v>14</v>
      </c>
      <c r="P2" s="23" t="s">
        <v>25</v>
      </c>
      <c r="Q2" s="26" t="s">
        <v>26</v>
      </c>
      <c r="R2" s="27" t="s">
        <v>27</v>
      </c>
      <c r="S2" s="25" t="s">
        <v>4</v>
      </c>
      <c r="T2" s="23" t="s">
        <v>28</v>
      </c>
      <c r="U2" s="23" t="s">
        <v>83</v>
      </c>
      <c r="V2" s="23" t="s">
        <v>29</v>
      </c>
      <c r="W2" s="23" t="s">
        <v>84</v>
      </c>
      <c r="X2" s="23" t="s">
        <v>30</v>
      </c>
      <c r="Y2" s="23" t="s">
        <v>31</v>
      </c>
      <c r="Z2" s="23" t="s">
        <v>85</v>
      </c>
      <c r="AA2" s="23" t="s">
        <v>32</v>
      </c>
      <c r="AB2" s="23" t="s">
        <v>33</v>
      </c>
      <c r="AC2" s="23" t="s">
        <v>34</v>
      </c>
      <c r="AD2" s="24" t="s">
        <v>35</v>
      </c>
      <c r="AE2" s="23" t="s">
        <v>5</v>
      </c>
      <c r="AF2" s="23" t="s">
        <v>36</v>
      </c>
      <c r="AG2" s="23" t="s">
        <v>37</v>
      </c>
      <c r="AH2" s="23" t="s">
        <v>38</v>
      </c>
      <c r="AI2" s="23" t="s">
        <v>39</v>
      </c>
      <c r="AJ2" s="23" t="s">
        <v>40</v>
      </c>
      <c r="AK2" s="23" t="s">
        <v>41</v>
      </c>
      <c r="AL2" s="23" t="s">
        <v>42</v>
      </c>
      <c r="AM2" s="23" t="s">
        <v>43</v>
      </c>
      <c r="AN2" s="23" t="s">
        <v>44</v>
      </c>
      <c r="AO2" s="23" t="s">
        <v>45</v>
      </c>
      <c r="AP2" s="23" t="s">
        <v>46</v>
      </c>
      <c r="AQ2" s="23" t="s">
        <v>15</v>
      </c>
      <c r="AR2" s="23" t="s">
        <v>47</v>
      </c>
      <c r="AS2" s="23" t="s">
        <v>48</v>
      </c>
      <c r="AT2" s="23" t="s">
        <v>49</v>
      </c>
      <c r="AU2" s="23" t="s">
        <v>50</v>
      </c>
      <c r="AV2" s="23" t="s">
        <v>51</v>
      </c>
      <c r="AW2" s="23" t="s">
        <v>52</v>
      </c>
      <c r="AX2" s="23" t="s">
        <v>53</v>
      </c>
      <c r="AY2" s="23" t="s">
        <v>54</v>
      </c>
      <c r="AZ2" s="23" t="s">
        <v>55</v>
      </c>
      <c r="BA2" s="23" t="s">
        <v>56</v>
      </c>
      <c r="BB2" s="35" t="s">
        <v>57</v>
      </c>
      <c r="BC2" s="35" t="s">
        <v>58</v>
      </c>
      <c r="BD2" s="35" t="s">
        <v>59</v>
      </c>
      <c r="BE2" s="35" t="s">
        <v>9</v>
      </c>
      <c r="BF2" s="35" t="s">
        <v>82</v>
      </c>
      <c r="BG2" s="35" t="s">
        <v>81</v>
      </c>
      <c r="BH2" s="35" t="s">
        <v>80</v>
      </c>
      <c r="BI2" s="35" t="s">
        <v>79</v>
      </c>
      <c r="BJ2" s="35" t="s">
        <v>78</v>
      </c>
      <c r="BK2" s="35" t="s">
        <v>77</v>
      </c>
      <c r="BL2" s="35" t="s">
        <v>76</v>
      </c>
      <c r="BM2" s="35" t="s">
        <v>75</v>
      </c>
      <c r="BN2" s="35" t="s">
        <v>74</v>
      </c>
      <c r="BO2" s="35" t="s">
        <v>73</v>
      </c>
      <c r="BP2" s="28" t="s">
        <v>7</v>
      </c>
      <c r="BQ2" s="28" t="s">
        <v>60</v>
      </c>
      <c r="BR2" s="28" t="s">
        <v>8</v>
      </c>
      <c r="BS2" s="28" t="s">
        <v>10</v>
      </c>
      <c r="BT2" s="33" t="s">
        <v>69</v>
      </c>
      <c r="BU2" s="30"/>
    </row>
    <row r="3" spans="1:73">
      <c r="L3" s="2"/>
      <c r="M3" s="18"/>
      <c r="N3" s="2"/>
      <c r="O3" s="2"/>
      <c r="Q3" s="2"/>
      <c r="R3" s="2"/>
      <c r="T3" s="19"/>
      <c r="U3" s="18"/>
      <c r="V3" s="19"/>
      <c r="W3" s="18"/>
      <c r="X3" s="19"/>
      <c r="Y3" s="19"/>
      <c r="Z3" s="18"/>
      <c r="AA3" s="19"/>
      <c r="AB3" s="19"/>
      <c r="AC3" s="39"/>
      <c r="AD3" s="40"/>
      <c r="AI3" s="4"/>
      <c r="AJ3" s="4"/>
      <c r="AL3" s="4"/>
      <c r="AM3" s="4"/>
      <c r="AN3" s="4"/>
      <c r="AO3" s="4"/>
      <c r="AP3" s="4"/>
      <c r="AQ3" s="4"/>
      <c r="AR3" s="4"/>
      <c r="AS3" s="4"/>
      <c r="AT3" s="4"/>
      <c r="AU3" s="4"/>
      <c r="AV3" s="4"/>
      <c r="AW3" s="4"/>
      <c r="AX3" s="4"/>
      <c r="AY3" s="4"/>
      <c r="BA3" s="4"/>
      <c r="BB3" s="2"/>
      <c r="BC3" s="2"/>
      <c r="BD3" s="4"/>
      <c r="BF3" s="31"/>
      <c r="BG3" s="31"/>
      <c r="BH3" s="31"/>
      <c r="BI3" s="31"/>
      <c r="BJ3" s="31"/>
      <c r="BK3" s="31"/>
      <c r="BL3" s="31"/>
      <c r="BM3" s="31"/>
      <c r="BN3" s="31"/>
      <c r="BO3" s="31"/>
      <c r="BQ3" s="4"/>
      <c r="BU3" s="2"/>
    </row>
    <row r="4" spans="1:73">
      <c r="L4" s="2"/>
      <c r="M4" s="18"/>
      <c r="N4" s="2"/>
      <c r="O4" s="2"/>
      <c r="Q4" s="2"/>
      <c r="R4" s="2"/>
      <c r="T4" s="19"/>
      <c r="U4" s="18"/>
      <c r="V4" s="44"/>
      <c r="W4" s="18"/>
      <c r="Z4" s="18"/>
      <c r="AA4" s="44"/>
      <c r="AB4" s="44"/>
      <c r="AC4" s="39"/>
      <c r="AD4" s="40"/>
      <c r="AI4" s="4"/>
      <c r="AJ4" s="4"/>
      <c r="AL4" s="4"/>
      <c r="AM4" s="4"/>
      <c r="AN4" s="4"/>
      <c r="AO4" s="4"/>
      <c r="AP4" s="4"/>
      <c r="AQ4" s="4"/>
      <c r="AR4" s="4"/>
      <c r="AS4" s="4"/>
      <c r="AT4" s="4"/>
      <c r="AU4" s="4"/>
      <c r="AV4" s="4"/>
      <c r="AW4" s="4"/>
      <c r="AX4" s="4"/>
      <c r="AY4" s="4"/>
      <c r="BA4" s="4"/>
      <c r="BB4" s="2"/>
      <c r="BC4" s="2"/>
      <c r="BD4" s="4"/>
      <c r="BF4" s="31"/>
      <c r="BG4" s="31"/>
      <c r="BH4" s="31"/>
      <c r="BI4" s="31"/>
      <c r="BJ4" s="31"/>
      <c r="BK4" s="31"/>
      <c r="BL4" s="31"/>
      <c r="BM4" s="31"/>
      <c r="BN4" s="31"/>
      <c r="BO4" s="31"/>
      <c r="BQ4" s="4"/>
      <c r="BU4" s="2"/>
    </row>
    <row r="5" spans="1:73">
      <c r="L5" s="2"/>
      <c r="M5" s="18"/>
      <c r="N5" s="2"/>
      <c r="O5" s="2"/>
      <c r="Q5" s="2"/>
      <c r="R5" s="2"/>
      <c r="T5" s="19"/>
      <c r="U5" s="18"/>
      <c r="V5" s="19"/>
      <c r="W5" s="18"/>
      <c r="X5" s="19"/>
      <c r="Y5" s="19"/>
      <c r="Z5" s="18"/>
      <c r="AA5" s="19"/>
      <c r="AB5" s="44"/>
      <c r="AC5" s="39"/>
      <c r="AD5" s="40"/>
      <c r="AI5" s="4"/>
      <c r="AJ5" s="4"/>
      <c r="AL5" s="4"/>
      <c r="AM5" s="4"/>
      <c r="AN5" s="4"/>
      <c r="AO5" s="4"/>
      <c r="AP5" s="4"/>
      <c r="AQ5" s="4"/>
      <c r="AR5" s="4"/>
      <c r="AS5" s="4"/>
      <c r="AT5" s="4"/>
      <c r="AU5" s="4"/>
      <c r="AV5" s="4"/>
      <c r="AW5" s="4"/>
      <c r="AX5" s="4"/>
      <c r="AY5" s="4"/>
      <c r="BA5" s="4"/>
      <c r="BB5" s="2"/>
      <c r="BC5" s="2"/>
      <c r="BD5" s="4"/>
      <c r="BF5" s="31"/>
      <c r="BG5" s="31"/>
      <c r="BH5" s="31"/>
      <c r="BI5" s="31"/>
      <c r="BJ5" s="31"/>
      <c r="BK5" s="31"/>
      <c r="BL5" s="31"/>
      <c r="BM5" s="31"/>
      <c r="BN5" s="31"/>
      <c r="BO5" s="31"/>
      <c r="BQ5" s="4"/>
      <c r="BU5" s="2"/>
    </row>
    <row r="6" spans="1:73">
      <c r="L6" s="2"/>
      <c r="M6" s="18"/>
      <c r="N6" s="2"/>
      <c r="O6" s="2"/>
      <c r="Q6" s="2"/>
      <c r="R6" s="2"/>
      <c r="T6" s="19"/>
      <c r="U6" s="18"/>
      <c r="V6" s="19"/>
      <c r="W6" s="18"/>
      <c r="X6" s="19"/>
      <c r="Y6" s="19"/>
      <c r="Z6" s="18"/>
      <c r="AA6" s="19"/>
      <c r="AB6" s="19"/>
      <c r="AC6" s="39"/>
      <c r="AD6" s="40"/>
      <c r="AI6" s="4"/>
      <c r="AJ6" s="4"/>
      <c r="AL6" s="4"/>
      <c r="AM6" s="4"/>
      <c r="AN6" s="4"/>
      <c r="AO6" s="4"/>
      <c r="AP6" s="4"/>
      <c r="AQ6" s="4"/>
      <c r="AR6" s="4"/>
      <c r="AS6" s="4"/>
      <c r="AT6" s="4"/>
      <c r="AU6" s="4"/>
      <c r="AV6" s="4"/>
      <c r="AW6" s="4"/>
      <c r="AX6" s="4"/>
      <c r="AY6" s="4"/>
      <c r="BA6" s="4"/>
      <c r="BB6" s="2"/>
      <c r="BC6" s="2"/>
      <c r="BD6" s="4"/>
      <c r="BF6" s="31"/>
      <c r="BG6" s="31"/>
      <c r="BH6" s="31"/>
      <c r="BI6" s="31"/>
      <c r="BJ6" s="31"/>
      <c r="BK6" s="31"/>
      <c r="BL6" s="31"/>
      <c r="BM6" s="31"/>
      <c r="BN6" s="31"/>
      <c r="BO6" s="31"/>
      <c r="BQ6" s="4"/>
      <c r="BU6" s="2"/>
    </row>
    <row r="7" spans="1:73">
      <c r="L7" s="2"/>
      <c r="M7" s="18"/>
      <c r="N7" s="2"/>
      <c r="O7" s="2"/>
      <c r="Q7" s="2"/>
      <c r="R7" s="2"/>
      <c r="T7" s="19"/>
      <c r="U7" s="18"/>
      <c r="V7" s="19"/>
      <c r="W7" s="18"/>
      <c r="X7" s="19"/>
      <c r="Z7" s="18"/>
      <c r="AA7" s="44"/>
      <c r="AB7" s="44"/>
      <c r="AC7" s="39"/>
      <c r="AD7" s="40"/>
      <c r="AI7" s="4"/>
      <c r="AJ7" s="4"/>
      <c r="AL7" s="4"/>
      <c r="AM7" s="4"/>
      <c r="AN7" s="4"/>
      <c r="AO7" s="4"/>
      <c r="AP7" s="4"/>
      <c r="AQ7" s="4"/>
      <c r="AR7" s="4"/>
      <c r="AS7" s="4"/>
      <c r="AT7" s="4"/>
      <c r="AU7" s="4"/>
      <c r="AV7" s="4"/>
      <c r="AW7" s="4"/>
      <c r="AX7" s="4"/>
      <c r="AY7" s="4"/>
      <c r="BA7" s="4"/>
      <c r="BB7" s="2"/>
      <c r="BC7" s="2"/>
      <c r="BD7" s="4"/>
      <c r="BF7" s="31"/>
      <c r="BG7" s="31"/>
      <c r="BH7" s="31"/>
      <c r="BI7" s="31"/>
      <c r="BJ7" s="31"/>
      <c r="BK7" s="31"/>
      <c r="BL7" s="31"/>
      <c r="BM7" s="31"/>
      <c r="BN7" s="31"/>
      <c r="BO7" s="31"/>
      <c r="BQ7" s="4"/>
      <c r="BU7" s="2"/>
    </row>
    <row r="8" spans="1:73">
      <c r="L8" s="2"/>
      <c r="M8" s="18"/>
      <c r="N8" s="2"/>
      <c r="O8" s="2"/>
      <c r="Q8" s="2"/>
      <c r="R8" s="2"/>
      <c r="T8" s="19"/>
      <c r="U8" s="18"/>
      <c r="V8" s="19"/>
      <c r="W8" s="18"/>
      <c r="X8" s="19"/>
      <c r="Y8" s="19"/>
      <c r="Z8" s="18"/>
      <c r="AA8" s="44"/>
      <c r="AB8" s="19"/>
      <c r="AC8" s="39"/>
      <c r="AD8" s="40"/>
      <c r="AI8" s="4"/>
      <c r="AJ8" s="4"/>
      <c r="AL8" s="4"/>
      <c r="AM8" s="4"/>
      <c r="AN8" s="4"/>
      <c r="AO8" s="4"/>
      <c r="AP8" s="4"/>
      <c r="AQ8" s="4"/>
      <c r="AR8" s="4"/>
      <c r="AS8" s="4"/>
      <c r="AT8" s="4"/>
      <c r="AU8" s="4"/>
      <c r="AV8" s="4"/>
      <c r="AW8" s="4"/>
      <c r="AX8" s="4"/>
      <c r="AY8" s="4"/>
      <c r="BA8" s="4"/>
      <c r="BB8" s="2"/>
      <c r="BC8" s="2"/>
      <c r="BD8" s="4"/>
      <c r="BF8" s="31"/>
      <c r="BG8" s="31"/>
      <c r="BH8" s="31"/>
      <c r="BI8" s="31"/>
      <c r="BJ8" s="31"/>
      <c r="BK8" s="31"/>
      <c r="BL8" s="31"/>
      <c r="BM8" s="31"/>
      <c r="BN8" s="31"/>
      <c r="BO8" s="31"/>
      <c r="BQ8" s="4"/>
      <c r="BU8" s="2"/>
    </row>
    <row r="9" spans="1:73">
      <c r="L9" s="2"/>
      <c r="M9" s="18"/>
      <c r="N9" s="2"/>
      <c r="O9" s="2"/>
      <c r="Q9" s="2"/>
      <c r="R9" s="2"/>
      <c r="T9" s="19"/>
      <c r="U9" s="18"/>
      <c r="V9" s="19"/>
      <c r="W9" s="18"/>
      <c r="X9" s="19"/>
      <c r="Y9" s="19"/>
      <c r="Z9" s="18"/>
      <c r="AA9" s="19"/>
      <c r="AB9" s="19"/>
      <c r="AC9" s="39"/>
      <c r="AD9" s="40"/>
      <c r="AI9" s="4"/>
      <c r="AJ9" s="4"/>
      <c r="AL9" s="4"/>
      <c r="AM9" s="4"/>
      <c r="AN9" s="4"/>
      <c r="AO9" s="4"/>
      <c r="AP9" s="4"/>
      <c r="AQ9" s="4"/>
      <c r="AR9" s="4"/>
      <c r="AS9" s="4"/>
      <c r="AT9" s="4"/>
      <c r="AU9" s="4"/>
      <c r="AV9" s="4"/>
      <c r="AW9" s="4"/>
      <c r="AX9" s="4"/>
      <c r="AY9" s="4"/>
      <c r="BA9" s="4"/>
      <c r="BB9" s="2"/>
      <c r="BC9" s="2"/>
      <c r="BD9" s="4"/>
      <c r="BF9" s="31"/>
      <c r="BG9" s="31"/>
      <c r="BH9" s="31"/>
      <c r="BI9" s="31"/>
      <c r="BJ9" s="31"/>
      <c r="BK9" s="31"/>
      <c r="BL9" s="31"/>
      <c r="BM9" s="31"/>
      <c r="BN9" s="31"/>
      <c r="BO9" s="31"/>
      <c r="BQ9" s="4"/>
      <c r="BU9" s="2"/>
    </row>
    <row r="10" spans="1:73">
      <c r="L10" s="2"/>
      <c r="M10" s="18"/>
      <c r="N10" s="2"/>
      <c r="O10" s="2"/>
      <c r="Q10" s="2"/>
      <c r="R10" s="2"/>
      <c r="T10" s="19"/>
      <c r="U10" s="18"/>
      <c r="V10" s="19"/>
      <c r="W10" s="18"/>
      <c r="X10" s="19"/>
      <c r="Y10" s="19"/>
      <c r="Z10" s="18"/>
      <c r="AA10" s="44"/>
      <c r="AB10" s="19"/>
      <c r="AC10" s="39"/>
      <c r="AD10" s="40"/>
      <c r="AI10" s="4"/>
      <c r="AJ10" s="4"/>
      <c r="AL10" s="4"/>
      <c r="AM10" s="4"/>
      <c r="AN10" s="4"/>
      <c r="AO10" s="4"/>
      <c r="AP10" s="4"/>
      <c r="AQ10" s="4"/>
      <c r="AR10" s="4"/>
      <c r="AS10" s="4"/>
      <c r="AT10" s="4"/>
      <c r="AU10" s="4"/>
      <c r="AV10" s="4"/>
      <c r="AW10" s="4"/>
      <c r="AX10" s="4"/>
      <c r="AY10" s="4"/>
      <c r="BA10" s="4"/>
      <c r="BB10" s="2"/>
      <c r="BC10" s="2"/>
      <c r="BD10" s="4"/>
      <c r="BF10" s="31"/>
      <c r="BG10" s="31"/>
      <c r="BH10" s="31"/>
      <c r="BI10" s="31"/>
      <c r="BJ10" s="31"/>
      <c r="BK10" s="31"/>
      <c r="BL10" s="31"/>
      <c r="BM10" s="31"/>
      <c r="BN10" s="31"/>
      <c r="BO10" s="31"/>
      <c r="BQ10" s="4"/>
      <c r="BU10" s="2"/>
    </row>
    <row r="11" spans="1:73">
      <c r="L11" s="2"/>
      <c r="M11" s="18"/>
      <c r="N11" s="2"/>
      <c r="O11" s="2"/>
      <c r="Q11" s="2"/>
      <c r="R11" s="2"/>
      <c r="T11" s="19"/>
      <c r="U11" s="18"/>
      <c r="V11" s="19"/>
      <c r="W11" s="18"/>
      <c r="X11" s="19"/>
      <c r="Y11" s="19"/>
      <c r="Z11" s="18"/>
      <c r="AA11" s="19"/>
      <c r="AB11" s="19"/>
      <c r="AC11" s="39"/>
      <c r="AD11" s="40"/>
      <c r="AI11" s="4"/>
      <c r="AJ11" s="4"/>
      <c r="AL11" s="4"/>
      <c r="AM11" s="4"/>
      <c r="AN11" s="4"/>
      <c r="AO11" s="4"/>
      <c r="AP11" s="4"/>
      <c r="AQ11" s="4"/>
      <c r="AR11" s="4"/>
      <c r="AS11" s="4"/>
      <c r="AT11" s="4"/>
      <c r="AU11" s="4"/>
      <c r="AV11" s="4"/>
      <c r="AW11" s="4"/>
      <c r="AX11" s="4"/>
      <c r="AY11" s="4"/>
      <c r="BA11" s="4"/>
      <c r="BB11" s="2"/>
      <c r="BC11" s="2"/>
      <c r="BD11" s="4"/>
      <c r="BF11" s="31"/>
      <c r="BG11" s="31"/>
      <c r="BH11" s="31"/>
      <c r="BI11" s="31"/>
      <c r="BJ11" s="31"/>
      <c r="BK11" s="31"/>
      <c r="BL11" s="31"/>
      <c r="BM11" s="31"/>
      <c r="BN11" s="31"/>
      <c r="BO11" s="31"/>
      <c r="BQ11" s="4"/>
      <c r="BU11" s="2"/>
    </row>
    <row r="12" spans="1:73">
      <c r="L12" s="2"/>
      <c r="M12" s="18"/>
      <c r="N12" s="2"/>
      <c r="O12" s="2"/>
      <c r="Q12" s="2"/>
      <c r="R12" s="2"/>
      <c r="T12" s="19"/>
      <c r="U12" s="18"/>
      <c r="V12" s="19"/>
      <c r="W12" s="18"/>
      <c r="X12" s="19"/>
      <c r="Y12" s="19"/>
      <c r="Z12" s="18"/>
      <c r="AA12" s="44"/>
      <c r="AB12" s="19"/>
      <c r="AC12" s="39"/>
      <c r="AD12" s="40"/>
      <c r="AI12" s="4"/>
      <c r="AJ12" s="4"/>
      <c r="AL12" s="4"/>
      <c r="AM12" s="4"/>
      <c r="AN12" s="4"/>
      <c r="AO12" s="4"/>
      <c r="AP12" s="4"/>
      <c r="AQ12" s="4"/>
      <c r="AR12" s="4"/>
      <c r="AS12" s="4"/>
      <c r="AT12" s="4"/>
      <c r="AU12" s="4"/>
      <c r="AV12" s="4"/>
      <c r="AW12" s="4"/>
      <c r="AX12" s="4"/>
      <c r="AY12" s="4"/>
      <c r="BA12" s="4"/>
      <c r="BB12" s="2"/>
      <c r="BC12" s="2"/>
      <c r="BD12" s="4"/>
      <c r="BF12" s="31"/>
      <c r="BG12" s="31"/>
      <c r="BH12" s="31"/>
      <c r="BI12" s="31"/>
      <c r="BJ12" s="31"/>
      <c r="BK12" s="31"/>
      <c r="BL12" s="31"/>
      <c r="BM12" s="31"/>
      <c r="BN12" s="31"/>
      <c r="BO12" s="31"/>
      <c r="BQ12" s="4"/>
      <c r="BU12" s="2"/>
    </row>
    <row r="13" spans="1:73">
      <c r="L13" s="2"/>
      <c r="M13" s="18"/>
      <c r="N13" s="2"/>
      <c r="O13" s="2"/>
      <c r="Q13" s="2"/>
      <c r="R13" s="2"/>
      <c r="T13" s="19"/>
      <c r="U13" s="18"/>
      <c r="V13" s="19"/>
      <c r="W13" s="18"/>
      <c r="X13" s="19"/>
      <c r="Y13" s="19"/>
      <c r="Z13" s="18"/>
      <c r="AA13" s="19"/>
      <c r="AB13" s="19"/>
      <c r="AC13" s="39"/>
      <c r="AD13" s="40"/>
      <c r="AI13" s="4"/>
      <c r="AJ13" s="4"/>
      <c r="AL13" s="4"/>
      <c r="AM13" s="4"/>
      <c r="AN13" s="4"/>
      <c r="AO13" s="4"/>
      <c r="AP13" s="4"/>
      <c r="AQ13" s="4"/>
      <c r="AR13" s="4"/>
      <c r="AS13" s="4"/>
      <c r="AT13" s="4"/>
      <c r="AU13" s="4"/>
      <c r="AV13" s="4"/>
      <c r="AW13" s="4"/>
      <c r="AX13" s="4"/>
      <c r="AY13" s="4"/>
      <c r="BA13" s="4"/>
      <c r="BB13" s="2"/>
      <c r="BC13" s="2"/>
      <c r="BD13" s="4"/>
      <c r="BF13" s="31"/>
      <c r="BG13" s="31"/>
      <c r="BH13" s="31"/>
      <c r="BI13" s="31"/>
      <c r="BJ13" s="31"/>
      <c r="BK13" s="31"/>
      <c r="BL13" s="31"/>
      <c r="BM13" s="31"/>
      <c r="BN13" s="31"/>
      <c r="BO13" s="31"/>
      <c r="BQ13" s="4"/>
      <c r="BU13" s="2"/>
    </row>
    <row r="14" spans="1:73">
      <c r="L14" s="2"/>
      <c r="M14" s="18"/>
      <c r="N14" s="2"/>
      <c r="O14" s="2"/>
      <c r="Q14" s="2"/>
      <c r="R14" s="2"/>
      <c r="T14" s="19"/>
      <c r="U14" s="18"/>
      <c r="V14" s="19"/>
      <c r="W14" s="18"/>
      <c r="X14" s="19"/>
      <c r="Z14" s="18"/>
      <c r="AA14" s="44"/>
      <c r="AB14" s="44"/>
      <c r="AC14" s="39"/>
      <c r="AD14" s="40"/>
      <c r="AI14" s="4"/>
      <c r="AJ14" s="4"/>
      <c r="AL14" s="4"/>
      <c r="AM14" s="4"/>
      <c r="AN14" s="4"/>
      <c r="AO14" s="4"/>
      <c r="AP14" s="4"/>
      <c r="AQ14" s="4"/>
      <c r="AR14" s="4"/>
      <c r="AS14" s="4"/>
      <c r="AT14" s="4"/>
      <c r="AU14" s="4"/>
      <c r="AV14" s="4"/>
      <c r="AW14" s="4"/>
      <c r="AX14" s="4"/>
      <c r="AY14" s="4"/>
      <c r="BA14" s="4"/>
      <c r="BB14" s="2"/>
      <c r="BC14" s="2"/>
      <c r="BD14" s="4"/>
      <c r="BF14" s="31"/>
      <c r="BG14" s="31"/>
      <c r="BH14" s="31"/>
      <c r="BI14" s="31"/>
      <c r="BJ14" s="31"/>
      <c r="BK14" s="31"/>
      <c r="BL14" s="31"/>
      <c r="BM14" s="31"/>
      <c r="BN14" s="31"/>
      <c r="BO14" s="31"/>
      <c r="BQ14" s="4"/>
      <c r="BU14" s="2"/>
    </row>
    <row r="15" spans="1:73">
      <c r="L15" s="2"/>
      <c r="M15" s="18"/>
      <c r="N15" s="2"/>
      <c r="O15" s="2"/>
      <c r="Q15" s="2"/>
      <c r="R15" s="2"/>
      <c r="T15" s="19"/>
      <c r="U15" s="18"/>
      <c r="V15" s="19"/>
      <c r="W15" s="18"/>
      <c r="X15" s="19"/>
      <c r="Y15" s="19"/>
      <c r="Z15" s="18"/>
      <c r="AA15" s="19"/>
      <c r="AB15" s="44"/>
      <c r="AC15" s="39"/>
      <c r="AD15" s="40"/>
      <c r="AI15" s="4"/>
      <c r="AJ15" s="4"/>
      <c r="AL15" s="4"/>
      <c r="AM15" s="4"/>
      <c r="AN15" s="4"/>
      <c r="AO15" s="4"/>
      <c r="AP15" s="4"/>
      <c r="AQ15" s="4"/>
      <c r="AR15" s="4"/>
      <c r="AS15" s="4"/>
      <c r="AT15" s="4"/>
      <c r="AU15" s="4"/>
      <c r="AV15" s="4"/>
      <c r="AW15" s="4"/>
      <c r="AX15" s="4"/>
      <c r="AY15" s="4"/>
      <c r="BA15" s="4"/>
      <c r="BB15" s="2"/>
      <c r="BC15" s="2"/>
      <c r="BD15" s="4"/>
      <c r="BF15" s="31"/>
      <c r="BG15" s="31"/>
      <c r="BH15" s="31"/>
      <c r="BI15" s="31"/>
      <c r="BJ15" s="31"/>
      <c r="BK15" s="31"/>
      <c r="BL15" s="31"/>
      <c r="BM15" s="31"/>
      <c r="BN15" s="31"/>
      <c r="BO15" s="31"/>
      <c r="BQ15" s="4"/>
      <c r="BU15" s="2"/>
    </row>
    <row r="16" spans="1:73">
      <c r="L16" s="2"/>
      <c r="M16" s="18"/>
      <c r="N16" s="2"/>
      <c r="O16" s="2"/>
      <c r="Q16" s="2"/>
      <c r="R16" s="2"/>
      <c r="T16" s="19"/>
      <c r="U16" s="18"/>
      <c r="V16" s="19"/>
      <c r="W16" s="18"/>
      <c r="X16" s="19"/>
      <c r="Z16" s="18"/>
      <c r="AA16" s="44"/>
      <c r="AB16" s="44"/>
      <c r="AC16" s="39"/>
      <c r="AD16" s="40"/>
      <c r="AI16" s="4"/>
      <c r="AJ16" s="4"/>
      <c r="AL16" s="4"/>
      <c r="AM16" s="4"/>
      <c r="AN16" s="4"/>
      <c r="AO16" s="4"/>
      <c r="AP16" s="4"/>
      <c r="AQ16" s="4"/>
      <c r="AR16" s="4"/>
      <c r="AS16" s="4"/>
      <c r="AT16" s="4"/>
      <c r="AU16" s="4"/>
      <c r="AV16" s="4"/>
      <c r="AW16" s="4"/>
      <c r="AX16" s="4"/>
      <c r="AY16" s="4"/>
      <c r="BA16" s="4"/>
      <c r="BB16" s="2"/>
      <c r="BC16" s="2"/>
      <c r="BD16" s="4"/>
      <c r="BF16" s="31"/>
      <c r="BG16" s="31"/>
      <c r="BH16" s="31"/>
      <c r="BI16" s="31"/>
      <c r="BJ16" s="31"/>
      <c r="BK16" s="31"/>
      <c r="BL16" s="31"/>
      <c r="BM16" s="31"/>
      <c r="BN16" s="31"/>
      <c r="BO16" s="31"/>
      <c r="BQ16" s="4"/>
      <c r="BU16" s="2"/>
    </row>
    <row r="17" spans="12:73">
      <c r="L17" s="2"/>
      <c r="M17" s="18"/>
      <c r="N17" s="2"/>
      <c r="O17" s="2"/>
      <c r="Q17" s="2"/>
      <c r="R17" s="2"/>
      <c r="T17" s="19"/>
      <c r="U17" s="18"/>
      <c r="V17" s="19"/>
      <c r="W17" s="18"/>
      <c r="X17" s="19"/>
      <c r="Y17" s="19"/>
      <c r="Z17" s="18"/>
      <c r="AA17" s="19"/>
      <c r="AB17" s="19"/>
      <c r="AC17" s="39"/>
      <c r="AD17" s="40"/>
      <c r="AI17" s="4"/>
      <c r="AJ17" s="4"/>
      <c r="AL17" s="4"/>
      <c r="AM17" s="4"/>
      <c r="AN17" s="4"/>
      <c r="AO17" s="4"/>
      <c r="AP17" s="4"/>
      <c r="AQ17" s="4"/>
      <c r="AR17" s="4"/>
      <c r="AS17" s="4"/>
      <c r="AT17" s="4"/>
      <c r="AU17" s="4"/>
      <c r="AV17" s="4"/>
      <c r="AW17" s="4"/>
      <c r="AX17" s="4"/>
      <c r="AY17" s="4"/>
      <c r="BA17" s="4"/>
      <c r="BB17" s="2"/>
      <c r="BC17" s="2"/>
      <c r="BD17" s="4"/>
      <c r="BF17" s="31"/>
      <c r="BG17" s="31"/>
      <c r="BH17" s="31"/>
      <c r="BI17" s="31"/>
      <c r="BJ17" s="31"/>
      <c r="BK17" s="31"/>
      <c r="BL17" s="31"/>
      <c r="BM17" s="31"/>
      <c r="BN17" s="31"/>
      <c r="BO17" s="31"/>
      <c r="BQ17" s="4"/>
      <c r="BU17" s="2"/>
    </row>
    <row r="18" spans="12:73">
      <c r="L18" s="2"/>
      <c r="M18" s="18"/>
      <c r="N18" s="2"/>
      <c r="O18" s="2"/>
      <c r="Q18" s="2"/>
      <c r="R18" s="2"/>
      <c r="T18" s="19"/>
      <c r="U18" s="18"/>
      <c r="V18" s="19"/>
      <c r="W18" s="18"/>
      <c r="X18" s="19"/>
      <c r="Y18" s="19"/>
      <c r="Z18" s="18"/>
      <c r="AA18" s="19"/>
      <c r="AB18" s="19"/>
      <c r="AC18" s="39"/>
      <c r="AD18" s="40"/>
      <c r="AI18" s="4"/>
      <c r="AJ18" s="4"/>
      <c r="AL18" s="4"/>
      <c r="AM18" s="4"/>
      <c r="AN18" s="4"/>
      <c r="AO18" s="4"/>
      <c r="AP18" s="4"/>
      <c r="AQ18" s="4"/>
      <c r="AR18" s="4"/>
      <c r="AS18" s="4"/>
      <c r="AT18" s="4"/>
      <c r="AU18" s="4"/>
      <c r="AV18" s="4"/>
      <c r="AW18" s="4"/>
      <c r="AX18" s="4"/>
      <c r="AY18" s="4"/>
      <c r="BA18" s="4"/>
      <c r="BB18" s="2"/>
      <c r="BC18" s="2"/>
      <c r="BD18" s="4"/>
      <c r="BF18" s="31"/>
      <c r="BG18" s="31"/>
      <c r="BH18" s="31"/>
      <c r="BI18" s="31"/>
      <c r="BJ18" s="31"/>
      <c r="BK18" s="31"/>
      <c r="BL18" s="31"/>
      <c r="BM18" s="31"/>
      <c r="BN18" s="31"/>
      <c r="BO18" s="31"/>
      <c r="BQ18" s="4"/>
      <c r="BU18" s="2"/>
    </row>
    <row r="19" spans="12:73">
      <c r="L19" s="2"/>
      <c r="M19" s="18"/>
      <c r="N19" s="2"/>
      <c r="O19" s="2"/>
      <c r="Q19" s="2"/>
      <c r="R19" s="2"/>
      <c r="T19" s="19"/>
      <c r="U19" s="18"/>
      <c r="V19" s="19"/>
      <c r="W19" s="18"/>
      <c r="X19" s="19"/>
      <c r="Z19" s="18"/>
      <c r="AC19" s="39"/>
      <c r="AD19" s="40"/>
      <c r="AI19" s="4"/>
      <c r="AJ19" s="4"/>
      <c r="AL19" s="4"/>
      <c r="AM19" s="4"/>
      <c r="AN19" s="4"/>
      <c r="AO19" s="4"/>
      <c r="AP19" s="4"/>
      <c r="AQ19" s="4"/>
      <c r="AR19" s="4"/>
      <c r="AS19" s="4"/>
      <c r="AT19" s="4"/>
      <c r="AU19" s="4"/>
      <c r="AV19" s="4"/>
      <c r="AW19" s="4"/>
      <c r="AX19" s="4"/>
      <c r="AY19" s="4"/>
      <c r="BA19" s="4"/>
      <c r="BB19" s="2"/>
      <c r="BC19" s="2"/>
      <c r="BD19" s="4"/>
      <c r="BF19" s="31"/>
      <c r="BG19" s="31"/>
      <c r="BH19" s="31"/>
      <c r="BI19" s="31"/>
      <c r="BJ19" s="31"/>
      <c r="BK19" s="31"/>
      <c r="BL19" s="31"/>
      <c r="BM19" s="31"/>
      <c r="BN19" s="31"/>
      <c r="BO19" s="31"/>
      <c r="BQ19" s="4"/>
      <c r="BU19" s="2"/>
    </row>
    <row r="20" spans="12:73">
      <c r="L20" s="2"/>
      <c r="M20" s="18"/>
      <c r="N20" s="2"/>
      <c r="O20" s="2"/>
      <c r="Q20" s="2"/>
      <c r="R20" s="2"/>
      <c r="T20" s="19"/>
      <c r="U20" s="18"/>
      <c r="V20" s="19"/>
      <c r="W20" s="18"/>
      <c r="X20" s="19"/>
      <c r="Y20" s="19"/>
      <c r="Z20" s="18"/>
      <c r="AA20" s="19"/>
      <c r="AC20" s="39"/>
      <c r="AD20" s="40"/>
      <c r="AI20" s="4"/>
      <c r="AJ20" s="4"/>
      <c r="AL20" s="4"/>
      <c r="AM20" s="4"/>
      <c r="AN20" s="4"/>
      <c r="AO20" s="4"/>
      <c r="AP20" s="4"/>
      <c r="AQ20" s="4"/>
      <c r="AR20" s="4"/>
      <c r="AS20" s="4"/>
      <c r="AT20" s="4"/>
      <c r="AU20" s="4"/>
      <c r="AV20" s="4"/>
      <c r="AW20" s="4"/>
      <c r="AX20" s="4"/>
      <c r="AY20" s="4"/>
      <c r="BA20" s="4"/>
      <c r="BB20" s="2"/>
      <c r="BC20" s="2"/>
      <c r="BD20" s="4"/>
      <c r="BF20" s="31"/>
      <c r="BG20" s="31"/>
      <c r="BH20" s="31"/>
      <c r="BI20" s="31"/>
      <c r="BJ20" s="31"/>
      <c r="BK20" s="31"/>
      <c r="BL20" s="31"/>
      <c r="BM20" s="31"/>
      <c r="BN20" s="31"/>
      <c r="BO20" s="31"/>
      <c r="BQ20" s="4"/>
      <c r="BU20" s="2"/>
    </row>
    <row r="21" spans="12:73">
      <c r="L21" s="2"/>
      <c r="M21" s="18"/>
      <c r="N21" s="2"/>
      <c r="O21" s="2"/>
      <c r="Q21" s="2"/>
      <c r="R21" s="2"/>
      <c r="T21" s="19"/>
      <c r="U21" s="18"/>
      <c r="W21" s="18"/>
      <c r="Z21" s="18"/>
      <c r="AC21" s="39"/>
      <c r="AD21" s="40"/>
      <c r="AI21" s="4"/>
      <c r="AJ21" s="4"/>
      <c r="AL21" s="4"/>
      <c r="AM21" s="4"/>
      <c r="AN21" s="4"/>
      <c r="AO21" s="4"/>
      <c r="AP21" s="4"/>
      <c r="AQ21" s="4"/>
      <c r="AR21" s="4"/>
      <c r="AS21" s="4"/>
      <c r="AT21" s="4"/>
      <c r="AU21" s="4"/>
      <c r="AV21" s="4"/>
      <c r="AW21" s="4"/>
      <c r="AX21" s="4"/>
      <c r="AY21" s="4"/>
      <c r="BA21" s="4"/>
      <c r="BB21" s="2"/>
      <c r="BC21" s="2"/>
      <c r="BD21" s="4"/>
      <c r="BF21" s="31"/>
      <c r="BG21" s="31"/>
      <c r="BH21" s="31"/>
      <c r="BI21" s="31"/>
      <c r="BJ21" s="31"/>
      <c r="BK21" s="31"/>
      <c r="BL21" s="31"/>
      <c r="BM21" s="31"/>
      <c r="BN21" s="31"/>
      <c r="BO21" s="31"/>
      <c r="BQ21" s="4"/>
      <c r="BU21" s="2"/>
    </row>
    <row r="22" spans="12:73">
      <c r="L22" s="2"/>
      <c r="M22" s="18"/>
      <c r="N22" s="2"/>
      <c r="O22" s="2"/>
      <c r="Q22" s="2"/>
      <c r="R22" s="2"/>
      <c r="T22" s="19"/>
      <c r="U22" s="18"/>
      <c r="W22" s="18"/>
      <c r="Z22" s="18"/>
      <c r="AC22" s="39"/>
      <c r="AD22" s="40"/>
      <c r="AI22" s="4"/>
      <c r="AJ22" s="4"/>
      <c r="AL22" s="4"/>
      <c r="AM22" s="4"/>
      <c r="AN22" s="4"/>
      <c r="AO22" s="4"/>
      <c r="AP22" s="4"/>
      <c r="AQ22" s="4"/>
      <c r="AR22" s="4"/>
      <c r="AS22" s="4"/>
      <c r="AT22" s="4"/>
      <c r="AU22" s="4"/>
      <c r="AV22" s="4"/>
      <c r="AW22" s="4"/>
      <c r="AX22" s="4"/>
      <c r="AY22" s="4"/>
      <c r="BA22" s="4"/>
      <c r="BB22" s="2"/>
      <c r="BC22" s="2"/>
      <c r="BD22" s="4"/>
      <c r="BF22" s="31"/>
      <c r="BG22" s="31"/>
      <c r="BH22" s="31"/>
      <c r="BI22" s="31"/>
      <c r="BJ22" s="31"/>
      <c r="BK22" s="31"/>
      <c r="BL22" s="31"/>
      <c r="BM22" s="31"/>
      <c r="BN22" s="31"/>
      <c r="BO22" s="31"/>
      <c r="BQ22" s="4"/>
      <c r="BU22" s="2"/>
    </row>
    <row r="23" spans="12:73">
      <c r="L23" s="2"/>
      <c r="M23" s="18"/>
      <c r="N23" s="2"/>
      <c r="O23" s="2"/>
      <c r="Q23" s="2"/>
      <c r="R23" s="2"/>
      <c r="T23" s="19"/>
      <c r="U23" s="18"/>
      <c r="W23" s="18"/>
      <c r="Z23" s="18"/>
      <c r="AC23" s="39"/>
      <c r="AD23" s="40"/>
      <c r="AI23" s="4"/>
      <c r="AJ23" s="4"/>
      <c r="AL23" s="4"/>
      <c r="AM23" s="4"/>
      <c r="AN23" s="4"/>
      <c r="AO23" s="4"/>
      <c r="AP23" s="4"/>
      <c r="AQ23" s="4"/>
      <c r="AR23" s="4"/>
      <c r="AS23" s="4"/>
      <c r="AT23" s="4"/>
      <c r="AU23" s="4"/>
      <c r="AV23" s="4"/>
      <c r="AW23" s="4"/>
      <c r="AX23" s="4"/>
      <c r="AY23" s="4"/>
      <c r="BA23" s="4"/>
      <c r="BB23" s="2"/>
      <c r="BC23" s="2"/>
      <c r="BD23" s="4"/>
      <c r="BF23" s="31"/>
      <c r="BG23" s="31"/>
      <c r="BH23" s="31"/>
      <c r="BI23" s="31"/>
      <c r="BJ23" s="31"/>
      <c r="BK23" s="31"/>
      <c r="BL23" s="31"/>
      <c r="BM23" s="31"/>
      <c r="BN23" s="31"/>
      <c r="BO23" s="31"/>
      <c r="BQ23" s="4"/>
      <c r="BU23" s="2"/>
    </row>
    <row r="24" spans="12:73">
      <c r="L24" s="2"/>
      <c r="M24" s="18"/>
      <c r="N24" s="2"/>
      <c r="O24" s="2"/>
      <c r="Q24" s="2"/>
      <c r="R24" s="2"/>
      <c r="T24" s="19"/>
      <c r="U24" s="18"/>
      <c r="V24" s="19"/>
      <c r="W24" s="18"/>
      <c r="X24" s="19"/>
      <c r="Z24" s="18"/>
      <c r="AC24" s="39"/>
      <c r="AD24" s="40"/>
      <c r="AI24" s="4"/>
      <c r="AJ24" s="4"/>
      <c r="AL24" s="4"/>
      <c r="AM24" s="4"/>
      <c r="AN24" s="4"/>
      <c r="AO24" s="4"/>
      <c r="AP24" s="4"/>
      <c r="AQ24" s="4"/>
      <c r="AR24" s="4"/>
      <c r="AS24" s="4"/>
      <c r="AT24" s="4"/>
      <c r="AU24" s="4"/>
      <c r="AV24" s="4"/>
      <c r="AW24" s="4"/>
      <c r="AX24" s="4"/>
      <c r="AY24" s="4"/>
      <c r="BA24" s="4"/>
      <c r="BB24" s="2"/>
      <c r="BC24" s="2"/>
      <c r="BD24" s="4"/>
      <c r="BF24" s="31"/>
      <c r="BG24" s="31"/>
      <c r="BH24" s="31"/>
      <c r="BI24" s="31"/>
      <c r="BJ24" s="31"/>
      <c r="BK24" s="31"/>
      <c r="BL24" s="31"/>
      <c r="BM24" s="31"/>
      <c r="BN24" s="31"/>
      <c r="BO24" s="31"/>
      <c r="BQ24" s="4"/>
      <c r="BU24" s="2"/>
    </row>
    <row r="25" spans="12:73">
      <c r="L25" s="2"/>
      <c r="M25" s="18"/>
      <c r="N25" s="2"/>
      <c r="O25" s="2"/>
      <c r="Q25" s="2"/>
      <c r="R25" s="2"/>
      <c r="T25" s="19"/>
      <c r="U25" s="18"/>
      <c r="V25" s="19"/>
      <c r="W25" s="18"/>
      <c r="X25" s="19"/>
      <c r="Y25" s="19"/>
      <c r="Z25" s="18"/>
      <c r="AA25" s="19"/>
      <c r="AB25" s="19"/>
      <c r="AC25" s="39"/>
      <c r="AD25" s="40"/>
      <c r="AI25" s="4"/>
      <c r="AJ25" s="4"/>
      <c r="AL25" s="4"/>
      <c r="AM25" s="4"/>
      <c r="AN25" s="4"/>
      <c r="AO25" s="4"/>
      <c r="AP25" s="4"/>
      <c r="AQ25" s="4"/>
      <c r="AR25" s="4"/>
      <c r="AS25" s="4"/>
      <c r="AT25" s="4"/>
      <c r="AU25" s="4"/>
      <c r="AV25" s="4"/>
      <c r="AW25" s="4"/>
      <c r="AX25" s="4"/>
      <c r="AY25" s="4"/>
      <c r="BA25" s="4"/>
      <c r="BB25" s="2"/>
      <c r="BC25" s="2"/>
      <c r="BD25" s="4"/>
      <c r="BF25" s="31"/>
      <c r="BG25" s="31"/>
      <c r="BH25" s="31"/>
      <c r="BI25" s="31"/>
      <c r="BJ25" s="31"/>
      <c r="BK25" s="31"/>
      <c r="BL25" s="31"/>
      <c r="BM25" s="31"/>
      <c r="BN25" s="31"/>
      <c r="BO25" s="31"/>
      <c r="BQ25" s="4"/>
    </row>
    <row r="26" spans="12:73">
      <c r="L26" s="2"/>
      <c r="M26" s="18"/>
      <c r="N26" s="2"/>
      <c r="O26" s="2"/>
      <c r="Q26" s="2"/>
      <c r="R26" s="2"/>
      <c r="T26" s="19"/>
      <c r="U26" s="18"/>
      <c r="V26" s="19"/>
      <c r="W26" s="18"/>
      <c r="X26" s="19"/>
      <c r="Z26" s="18"/>
      <c r="AC26" s="39"/>
      <c r="AD26" s="40"/>
      <c r="AI26" s="4"/>
      <c r="AJ26" s="4"/>
      <c r="AL26" s="4"/>
      <c r="AM26" s="4"/>
      <c r="AN26" s="4"/>
      <c r="AO26" s="4"/>
      <c r="AP26" s="4"/>
      <c r="AQ26" s="4"/>
      <c r="AR26" s="4"/>
      <c r="AS26" s="4"/>
      <c r="AT26" s="4"/>
      <c r="AU26" s="4"/>
      <c r="AV26" s="4"/>
      <c r="AW26" s="4"/>
      <c r="AX26" s="4"/>
      <c r="AY26" s="4"/>
      <c r="BA26" s="4"/>
      <c r="BB26" s="2"/>
      <c r="BC26" s="2"/>
      <c r="BD26" s="4"/>
      <c r="BF26" s="31"/>
      <c r="BG26" s="31"/>
      <c r="BH26" s="31"/>
      <c r="BI26" s="31"/>
      <c r="BJ26" s="31"/>
      <c r="BK26" s="31"/>
      <c r="BL26" s="31"/>
      <c r="BM26" s="31"/>
      <c r="BN26" s="31"/>
      <c r="BO26" s="31"/>
      <c r="BQ26" s="4"/>
    </row>
    <row r="27" spans="12:73">
      <c r="L27" s="2"/>
      <c r="M27" s="18"/>
      <c r="N27" s="2"/>
      <c r="O27" s="2"/>
      <c r="Q27" s="2"/>
      <c r="R27" s="2"/>
      <c r="T27" s="19"/>
      <c r="U27" s="18"/>
      <c r="V27" s="19"/>
      <c r="W27" s="18"/>
      <c r="X27" s="19"/>
      <c r="Y27" s="19"/>
      <c r="Z27" s="18"/>
      <c r="AA27" s="19"/>
      <c r="AC27" s="39"/>
      <c r="AD27" s="40"/>
      <c r="AI27" s="4"/>
      <c r="AJ27" s="4"/>
      <c r="AL27" s="4"/>
      <c r="AM27" s="4"/>
      <c r="AN27" s="4"/>
      <c r="AO27" s="4"/>
      <c r="AP27" s="4"/>
      <c r="AQ27" s="4"/>
      <c r="AR27" s="4"/>
      <c r="AS27" s="4"/>
      <c r="AT27" s="4"/>
      <c r="AU27" s="4"/>
      <c r="AV27" s="4"/>
      <c r="AW27" s="4"/>
      <c r="AX27" s="4"/>
      <c r="AY27" s="4"/>
      <c r="BA27" s="4"/>
      <c r="BB27" s="2"/>
      <c r="BC27" s="2"/>
      <c r="BD27" s="4"/>
      <c r="BF27" s="31"/>
      <c r="BG27" s="31"/>
      <c r="BH27" s="31"/>
      <c r="BI27" s="31"/>
      <c r="BJ27" s="31"/>
      <c r="BK27" s="31"/>
      <c r="BL27" s="31"/>
      <c r="BM27" s="31"/>
      <c r="BN27" s="31"/>
      <c r="BO27" s="31"/>
      <c r="BQ27" s="4"/>
    </row>
    <row r="28" spans="12:73">
      <c r="L28" s="2"/>
      <c r="M28" s="18"/>
      <c r="N28" s="2"/>
      <c r="O28" s="2"/>
      <c r="Q28" s="2"/>
      <c r="R28" s="2"/>
      <c r="T28" s="19"/>
      <c r="U28" s="18"/>
      <c r="V28" s="19"/>
      <c r="W28" s="18"/>
      <c r="X28" s="19"/>
      <c r="Y28" s="19"/>
      <c r="Z28" s="18"/>
      <c r="AA28" s="19"/>
      <c r="AB28" s="19"/>
      <c r="AC28" s="39"/>
      <c r="AD28" s="40"/>
      <c r="AI28" s="4"/>
      <c r="AJ28" s="4"/>
      <c r="AL28" s="4"/>
      <c r="AM28" s="4"/>
      <c r="AN28" s="4"/>
      <c r="AO28" s="4"/>
      <c r="AP28" s="4"/>
      <c r="AQ28" s="4"/>
      <c r="AR28" s="4"/>
      <c r="AS28" s="4"/>
      <c r="AT28" s="4"/>
      <c r="AU28" s="4"/>
      <c r="AV28" s="4"/>
      <c r="AW28" s="4"/>
      <c r="AX28" s="4"/>
      <c r="AY28" s="4"/>
      <c r="BA28" s="4"/>
      <c r="BB28" s="2"/>
      <c r="BC28" s="2"/>
      <c r="BD28" s="4"/>
      <c r="BF28" s="31"/>
      <c r="BG28" s="31"/>
      <c r="BH28" s="31"/>
      <c r="BI28" s="31"/>
      <c r="BJ28" s="31"/>
      <c r="BK28" s="31"/>
      <c r="BL28" s="31"/>
      <c r="BM28" s="31"/>
      <c r="BN28" s="31"/>
      <c r="BO28" s="31"/>
      <c r="BQ28" s="4"/>
    </row>
    <row r="29" spans="12:73">
      <c r="L29" s="2"/>
      <c r="M29" s="18"/>
      <c r="N29" s="2"/>
      <c r="O29" s="2"/>
      <c r="Q29" s="2"/>
      <c r="R29" s="2"/>
      <c r="T29" s="19"/>
      <c r="U29" s="18"/>
      <c r="V29" s="19"/>
      <c r="W29" s="18"/>
      <c r="X29" s="19"/>
      <c r="Z29" s="18"/>
      <c r="AC29" s="39"/>
      <c r="AD29" s="40"/>
      <c r="AI29" s="4"/>
      <c r="AJ29" s="4"/>
      <c r="AL29" s="4"/>
      <c r="AM29" s="4"/>
      <c r="AN29" s="4"/>
      <c r="AO29" s="4"/>
      <c r="AP29" s="4"/>
      <c r="AQ29" s="4"/>
      <c r="AR29" s="4"/>
      <c r="AS29" s="4"/>
      <c r="AT29" s="4"/>
      <c r="AU29" s="4"/>
      <c r="AV29" s="4"/>
      <c r="AW29" s="4"/>
      <c r="AX29" s="4"/>
      <c r="AY29" s="4"/>
      <c r="BA29" s="4"/>
      <c r="BB29" s="2"/>
      <c r="BC29" s="2"/>
      <c r="BD29" s="4"/>
      <c r="BF29" s="31"/>
      <c r="BG29" s="31"/>
      <c r="BH29" s="31"/>
      <c r="BI29" s="31"/>
      <c r="BJ29" s="31"/>
      <c r="BK29" s="31"/>
      <c r="BL29" s="31"/>
      <c r="BM29" s="31"/>
      <c r="BN29" s="31"/>
      <c r="BO29" s="31"/>
      <c r="BQ29" s="4"/>
    </row>
    <row r="30" spans="12:73">
      <c r="L30" s="2"/>
      <c r="M30" s="18"/>
      <c r="N30" s="2"/>
      <c r="O30" s="2"/>
      <c r="Q30" s="2"/>
      <c r="R30" s="2"/>
      <c r="T30" s="19"/>
      <c r="U30" s="18"/>
      <c r="V30" s="19"/>
      <c r="W30" s="18"/>
      <c r="X30" s="19"/>
      <c r="Y30" s="19"/>
      <c r="Z30" s="18"/>
      <c r="AA30" s="19"/>
      <c r="AB30" s="19"/>
      <c r="AC30" s="39"/>
      <c r="AD30" s="40"/>
      <c r="AI30" s="4"/>
      <c r="AJ30" s="4"/>
      <c r="AL30" s="4"/>
      <c r="AM30" s="4"/>
      <c r="AN30" s="4"/>
      <c r="AO30" s="4"/>
      <c r="AP30" s="4"/>
      <c r="AQ30" s="4"/>
      <c r="AR30" s="4"/>
      <c r="AS30" s="4"/>
      <c r="AT30" s="4"/>
      <c r="AU30" s="4"/>
      <c r="AV30" s="4"/>
      <c r="AW30" s="4"/>
      <c r="AX30" s="4"/>
      <c r="AY30" s="4"/>
      <c r="BA30" s="4"/>
      <c r="BB30" s="2"/>
      <c r="BC30" s="2"/>
      <c r="BD30" s="4"/>
      <c r="BF30" s="31"/>
      <c r="BG30" s="31"/>
      <c r="BH30" s="31"/>
      <c r="BI30" s="31"/>
      <c r="BJ30" s="31"/>
      <c r="BK30" s="31"/>
      <c r="BL30" s="31"/>
      <c r="BM30" s="31"/>
      <c r="BN30" s="31"/>
      <c r="BO30" s="31"/>
      <c r="BQ30" s="4"/>
    </row>
    <row r="31" spans="12:73">
      <c r="L31" s="2"/>
      <c r="M31" s="18"/>
      <c r="N31" s="2"/>
      <c r="O31" s="2"/>
      <c r="Q31" s="2"/>
      <c r="R31" s="2"/>
      <c r="T31" s="19"/>
      <c r="U31" s="18"/>
      <c r="V31" s="19"/>
      <c r="W31" s="18"/>
      <c r="X31" s="19"/>
      <c r="Y31" s="19"/>
      <c r="Z31" s="18"/>
      <c r="AA31" s="19"/>
      <c r="AB31" s="19"/>
      <c r="AC31" s="39"/>
      <c r="AD31" s="40"/>
      <c r="AI31" s="4"/>
      <c r="AJ31" s="4"/>
      <c r="AL31" s="4"/>
      <c r="AM31" s="4"/>
      <c r="AN31" s="4"/>
      <c r="AO31" s="4"/>
      <c r="AP31" s="4"/>
      <c r="AQ31" s="4"/>
      <c r="AR31" s="4"/>
      <c r="AS31" s="4"/>
      <c r="AT31" s="4"/>
      <c r="AU31" s="4"/>
      <c r="AV31" s="4"/>
      <c r="AW31" s="4"/>
      <c r="AX31" s="4"/>
      <c r="AY31" s="4"/>
      <c r="BA31" s="4"/>
      <c r="BB31" s="2"/>
      <c r="BC31" s="2"/>
      <c r="BD31" s="4"/>
      <c r="BF31" s="31"/>
      <c r="BG31" s="31"/>
      <c r="BH31" s="31"/>
      <c r="BI31" s="31"/>
      <c r="BJ31" s="31"/>
      <c r="BK31" s="31"/>
      <c r="BL31" s="31"/>
      <c r="BM31" s="31"/>
      <c r="BN31" s="31"/>
      <c r="BO31" s="31"/>
      <c r="BQ31" s="4"/>
    </row>
    <row r="32" spans="12:73">
      <c r="L32" s="2"/>
      <c r="M32" s="18"/>
      <c r="N32" s="2"/>
      <c r="O32" s="2"/>
      <c r="Q32" s="2"/>
      <c r="R32" s="2"/>
      <c r="T32" s="19"/>
      <c r="U32" s="18"/>
      <c r="V32" s="19"/>
      <c r="W32" s="18"/>
      <c r="X32" s="19"/>
      <c r="Z32" s="18"/>
      <c r="AC32" s="39"/>
      <c r="AD32" s="40"/>
      <c r="AI32" s="4"/>
      <c r="AJ32" s="4"/>
      <c r="AL32" s="4"/>
      <c r="AM32" s="4"/>
      <c r="AN32" s="4"/>
      <c r="AO32" s="4"/>
      <c r="AP32" s="4"/>
      <c r="AQ32" s="4"/>
      <c r="AR32" s="4"/>
      <c r="AS32" s="4"/>
      <c r="AT32" s="4"/>
      <c r="AU32" s="4"/>
      <c r="AV32" s="4"/>
      <c r="AW32" s="4"/>
      <c r="AX32" s="4"/>
      <c r="AY32" s="4"/>
      <c r="BA32" s="4"/>
      <c r="BB32" s="2"/>
      <c r="BC32" s="2"/>
      <c r="BD32" s="4"/>
      <c r="BF32" s="31"/>
      <c r="BG32" s="31"/>
      <c r="BH32" s="31"/>
      <c r="BI32" s="31"/>
      <c r="BJ32" s="31"/>
      <c r="BK32" s="31"/>
      <c r="BL32" s="31"/>
      <c r="BM32" s="31"/>
      <c r="BN32" s="31"/>
      <c r="BO32" s="31"/>
      <c r="BQ32" s="4"/>
    </row>
    <row r="33" spans="12:69">
      <c r="L33" s="2"/>
      <c r="M33" s="18"/>
      <c r="N33" s="2"/>
      <c r="O33" s="2"/>
      <c r="Q33" s="2"/>
      <c r="R33" s="2"/>
      <c r="T33" s="19"/>
      <c r="U33" s="18"/>
      <c r="V33" s="19"/>
      <c r="W33" s="18"/>
      <c r="X33" s="19"/>
      <c r="Y33" s="19"/>
      <c r="Z33" s="18"/>
      <c r="AA33" s="19"/>
      <c r="AB33" s="19"/>
      <c r="AC33" s="39"/>
      <c r="AD33" s="40"/>
      <c r="AI33" s="4"/>
      <c r="AJ33" s="4"/>
      <c r="AL33" s="4"/>
      <c r="AM33" s="4"/>
      <c r="AN33" s="4"/>
      <c r="AO33" s="4"/>
      <c r="AP33" s="4"/>
      <c r="AQ33" s="4"/>
      <c r="AR33" s="4"/>
      <c r="AS33" s="4"/>
      <c r="AT33" s="4"/>
      <c r="AU33" s="4"/>
      <c r="AV33" s="4"/>
      <c r="AW33" s="4"/>
      <c r="AX33" s="4"/>
      <c r="AY33" s="4"/>
      <c r="BA33" s="4"/>
      <c r="BB33" s="2"/>
      <c r="BC33" s="2"/>
      <c r="BD33" s="4"/>
      <c r="BF33" s="31"/>
      <c r="BG33" s="31"/>
      <c r="BH33" s="31"/>
      <c r="BI33" s="31"/>
      <c r="BJ33" s="31"/>
      <c r="BK33" s="31"/>
      <c r="BL33" s="31"/>
      <c r="BM33" s="31"/>
      <c r="BN33" s="31"/>
      <c r="BO33" s="31"/>
      <c r="BQ33" s="4"/>
    </row>
    <row r="34" spans="12:69">
      <c r="L34" s="2"/>
      <c r="M34" s="18"/>
      <c r="N34" s="2"/>
      <c r="O34" s="2"/>
      <c r="Q34" s="2"/>
      <c r="R34" s="2"/>
      <c r="T34" s="19"/>
      <c r="U34" s="18"/>
      <c r="V34" s="19"/>
      <c r="W34" s="18"/>
      <c r="X34" s="19"/>
      <c r="Y34" s="19"/>
      <c r="Z34" s="18"/>
      <c r="AA34" s="19"/>
      <c r="AB34" s="19"/>
      <c r="AC34" s="39"/>
      <c r="AD34" s="40"/>
      <c r="AI34" s="4"/>
      <c r="AJ34" s="4"/>
      <c r="AL34" s="4"/>
      <c r="AM34" s="4"/>
      <c r="AN34" s="4"/>
      <c r="AO34" s="4"/>
      <c r="AP34" s="4"/>
      <c r="AQ34" s="4"/>
      <c r="AR34" s="4"/>
      <c r="AS34" s="4"/>
      <c r="AT34" s="4"/>
      <c r="AU34" s="4"/>
      <c r="AV34" s="4"/>
      <c r="AW34" s="4"/>
      <c r="AX34" s="4"/>
      <c r="AY34" s="4"/>
      <c r="BA34" s="4"/>
      <c r="BB34" s="2"/>
      <c r="BC34" s="2"/>
      <c r="BD34" s="4"/>
      <c r="BF34" s="31"/>
      <c r="BG34" s="31"/>
      <c r="BH34" s="31"/>
      <c r="BI34" s="31"/>
      <c r="BJ34" s="31"/>
      <c r="BK34" s="31"/>
      <c r="BL34" s="31"/>
      <c r="BM34" s="31"/>
      <c r="BN34" s="31"/>
      <c r="BO34" s="31"/>
      <c r="BQ34" s="4"/>
    </row>
    <row r="35" spans="12:69">
      <c r="L35" s="2"/>
      <c r="M35" s="18"/>
      <c r="N35" s="2"/>
      <c r="O35" s="2"/>
      <c r="Q35" s="2"/>
      <c r="R35" s="2"/>
      <c r="T35" s="19"/>
      <c r="U35" s="18"/>
      <c r="V35" s="19"/>
      <c r="W35" s="18"/>
      <c r="X35" s="19"/>
      <c r="Z35" s="18"/>
      <c r="AC35" s="39"/>
      <c r="AD35" s="40"/>
      <c r="AI35" s="4"/>
      <c r="AJ35" s="4"/>
      <c r="AL35" s="4"/>
      <c r="AM35" s="4"/>
      <c r="AN35" s="4"/>
      <c r="AO35" s="4"/>
      <c r="AP35" s="4"/>
      <c r="AQ35" s="4"/>
      <c r="AR35" s="4"/>
      <c r="AS35" s="4"/>
      <c r="AT35" s="4"/>
      <c r="AU35" s="4"/>
      <c r="AV35" s="4"/>
      <c r="AW35" s="4"/>
      <c r="AX35" s="4"/>
      <c r="AY35" s="4"/>
      <c r="BA35" s="4"/>
      <c r="BB35" s="2"/>
      <c r="BC35" s="2"/>
      <c r="BD35" s="4"/>
      <c r="BF35" s="31"/>
      <c r="BG35" s="31"/>
      <c r="BH35" s="31"/>
      <c r="BI35" s="31"/>
      <c r="BJ35" s="31"/>
      <c r="BK35" s="31"/>
      <c r="BL35" s="31"/>
      <c r="BM35" s="31"/>
      <c r="BN35" s="31"/>
      <c r="BO35" s="31"/>
      <c r="BQ35" s="4"/>
    </row>
    <row r="36" spans="12:69">
      <c r="L36" s="2"/>
      <c r="M36" s="18"/>
      <c r="N36" s="2"/>
      <c r="O36" s="2"/>
      <c r="Q36" s="2"/>
      <c r="R36" s="2"/>
      <c r="T36" s="19"/>
      <c r="U36" s="18"/>
      <c r="V36" s="19"/>
      <c r="W36" s="18"/>
      <c r="X36" s="19"/>
      <c r="Y36" s="19"/>
      <c r="Z36" s="18"/>
      <c r="AA36" s="19"/>
      <c r="AC36" s="39"/>
      <c r="AD36" s="40"/>
      <c r="AI36" s="4"/>
      <c r="AJ36" s="4"/>
      <c r="AL36" s="4"/>
      <c r="AM36" s="4"/>
      <c r="AN36" s="4"/>
      <c r="AO36" s="4"/>
      <c r="AP36" s="4"/>
      <c r="AQ36" s="4"/>
      <c r="AR36" s="4"/>
      <c r="AS36" s="4"/>
      <c r="AT36" s="4"/>
      <c r="AU36" s="4"/>
      <c r="AV36" s="4"/>
      <c r="AW36" s="4"/>
      <c r="AX36" s="4"/>
      <c r="AY36" s="4"/>
      <c r="BA36" s="4"/>
      <c r="BB36" s="2"/>
      <c r="BC36" s="2"/>
      <c r="BD36" s="4"/>
      <c r="BF36" s="31"/>
      <c r="BG36" s="31"/>
      <c r="BH36" s="31"/>
      <c r="BI36" s="31"/>
      <c r="BJ36" s="31"/>
      <c r="BK36" s="31"/>
      <c r="BL36" s="31"/>
      <c r="BM36" s="31"/>
      <c r="BN36" s="31"/>
      <c r="BO36" s="31"/>
      <c r="BQ36" s="4"/>
    </row>
    <row r="37" spans="12:69">
      <c r="L37" s="2"/>
      <c r="M37" s="18"/>
      <c r="N37" s="2"/>
      <c r="O37" s="2"/>
      <c r="Q37" s="2"/>
      <c r="R37" s="2"/>
      <c r="T37" s="19"/>
      <c r="U37" s="18"/>
      <c r="V37" s="19"/>
      <c r="W37" s="18"/>
      <c r="X37" s="19"/>
      <c r="Z37" s="18"/>
      <c r="AC37" s="39"/>
      <c r="AD37" s="40"/>
      <c r="AI37" s="4"/>
      <c r="AJ37" s="4"/>
      <c r="AL37" s="4"/>
      <c r="AM37" s="4"/>
      <c r="AN37" s="4"/>
      <c r="AO37" s="4"/>
      <c r="AP37" s="4"/>
      <c r="AQ37" s="4"/>
      <c r="AR37" s="4"/>
      <c r="AS37" s="4"/>
      <c r="AT37" s="4"/>
      <c r="AU37" s="4"/>
      <c r="AV37" s="4"/>
      <c r="AW37" s="4"/>
      <c r="AX37" s="4"/>
      <c r="AY37" s="4"/>
      <c r="BA37" s="4"/>
      <c r="BB37" s="2"/>
      <c r="BC37" s="2"/>
      <c r="BD37" s="4"/>
      <c r="BF37" s="31"/>
      <c r="BG37" s="31"/>
      <c r="BH37" s="31"/>
      <c r="BI37" s="31"/>
      <c r="BJ37" s="31"/>
      <c r="BK37" s="31"/>
      <c r="BL37" s="31"/>
      <c r="BM37" s="31"/>
      <c r="BN37" s="31"/>
      <c r="BO37" s="31"/>
      <c r="BQ37" s="4"/>
    </row>
    <row r="38" spans="12:69">
      <c r="L38" s="2"/>
      <c r="M38" s="18"/>
      <c r="N38" s="2"/>
      <c r="O38" s="2"/>
      <c r="Q38" s="2"/>
      <c r="R38" s="2"/>
      <c r="T38" s="19"/>
      <c r="U38" s="18"/>
      <c r="V38" s="19"/>
      <c r="W38" s="18"/>
      <c r="X38" s="19"/>
      <c r="Y38" s="19"/>
      <c r="Z38" s="18"/>
      <c r="AA38" s="19"/>
      <c r="AB38" s="19"/>
      <c r="AC38" s="39"/>
      <c r="AD38" s="40"/>
      <c r="AI38" s="4"/>
      <c r="AJ38" s="4"/>
      <c r="AL38" s="4"/>
      <c r="AM38" s="4"/>
      <c r="AN38" s="4"/>
      <c r="AO38" s="4"/>
      <c r="AP38" s="4"/>
      <c r="AQ38" s="4"/>
      <c r="AR38" s="4"/>
      <c r="AS38" s="4"/>
      <c r="AT38" s="4"/>
      <c r="AU38" s="4"/>
      <c r="AV38" s="4"/>
      <c r="AW38" s="4"/>
      <c r="AX38" s="4"/>
      <c r="AY38" s="4"/>
      <c r="BA38" s="4"/>
      <c r="BB38" s="2"/>
      <c r="BC38" s="2"/>
      <c r="BD38" s="4"/>
      <c r="BF38" s="31"/>
      <c r="BG38" s="31"/>
      <c r="BH38" s="31"/>
      <c r="BI38" s="31"/>
      <c r="BJ38" s="31"/>
      <c r="BK38" s="31"/>
      <c r="BL38" s="31"/>
      <c r="BM38" s="31"/>
      <c r="BN38" s="31"/>
      <c r="BO38" s="31"/>
      <c r="BQ38" s="4"/>
    </row>
    <row r="39" spans="12:69">
      <c r="L39" s="2"/>
      <c r="M39" s="18"/>
      <c r="N39" s="2"/>
      <c r="O39" s="2"/>
      <c r="Q39" s="2"/>
      <c r="R39" s="2"/>
      <c r="T39" s="19"/>
      <c r="U39" s="18"/>
      <c r="V39" s="19"/>
      <c r="W39" s="18"/>
      <c r="X39" s="19"/>
      <c r="Y39" s="19"/>
      <c r="Z39" s="18"/>
      <c r="AA39" s="19"/>
      <c r="AB39" s="19"/>
      <c r="AC39" s="39"/>
      <c r="AD39" s="40"/>
      <c r="AI39" s="4"/>
      <c r="AJ39" s="4"/>
      <c r="AL39" s="4"/>
      <c r="AM39" s="4"/>
      <c r="AN39" s="4"/>
      <c r="AO39" s="4"/>
      <c r="AP39" s="4"/>
      <c r="AQ39" s="4"/>
      <c r="AR39" s="4"/>
      <c r="AS39" s="4"/>
      <c r="AT39" s="4"/>
      <c r="AU39" s="4"/>
      <c r="AV39" s="4"/>
      <c r="AW39" s="4"/>
      <c r="AX39" s="4"/>
      <c r="AY39" s="4"/>
      <c r="BA39" s="4"/>
      <c r="BB39" s="2"/>
      <c r="BC39" s="2"/>
      <c r="BD39" s="4"/>
      <c r="BF39" s="31"/>
      <c r="BG39" s="31"/>
      <c r="BH39" s="31"/>
      <c r="BI39" s="31"/>
      <c r="BJ39" s="31"/>
      <c r="BK39" s="31"/>
      <c r="BL39" s="31"/>
      <c r="BM39" s="31"/>
      <c r="BN39" s="31"/>
      <c r="BO39" s="31"/>
      <c r="BQ39" s="4"/>
    </row>
    <row r="40" spans="12:69">
      <c r="L40" s="2"/>
      <c r="M40" s="18"/>
      <c r="N40" s="2"/>
      <c r="O40" s="2"/>
      <c r="Q40" s="2"/>
      <c r="R40" s="2"/>
      <c r="T40" s="19"/>
      <c r="U40" s="18"/>
      <c r="V40" s="19"/>
      <c r="W40" s="18"/>
      <c r="X40" s="19"/>
      <c r="Z40" s="18"/>
      <c r="AC40" s="39"/>
      <c r="AD40" s="40"/>
      <c r="AI40" s="4"/>
      <c r="AJ40" s="4"/>
      <c r="AL40" s="4"/>
      <c r="AM40" s="4"/>
      <c r="AN40" s="4"/>
      <c r="AO40" s="4"/>
      <c r="AP40" s="4"/>
      <c r="AQ40" s="4"/>
      <c r="AR40" s="4"/>
      <c r="AS40" s="4"/>
      <c r="AT40" s="4"/>
      <c r="AU40" s="4"/>
      <c r="AV40" s="4"/>
      <c r="AW40" s="4"/>
      <c r="AX40" s="4"/>
      <c r="AY40" s="4"/>
      <c r="BA40" s="4"/>
      <c r="BB40" s="2"/>
      <c r="BC40" s="2"/>
      <c r="BD40" s="4"/>
      <c r="BF40" s="31"/>
      <c r="BG40" s="31"/>
      <c r="BH40" s="31"/>
      <c r="BI40" s="31"/>
      <c r="BJ40" s="31"/>
      <c r="BK40" s="31"/>
      <c r="BL40" s="31"/>
      <c r="BM40" s="31"/>
      <c r="BN40" s="31"/>
      <c r="BO40" s="31"/>
      <c r="BQ40" s="4"/>
    </row>
    <row r="41" spans="12:69">
      <c r="L41" s="2"/>
      <c r="M41" s="18"/>
      <c r="N41" s="2"/>
      <c r="O41" s="2"/>
      <c r="Q41" s="2"/>
      <c r="R41" s="2"/>
      <c r="T41" s="19"/>
      <c r="U41" s="18"/>
      <c r="V41" s="19"/>
      <c r="W41" s="18"/>
      <c r="X41" s="19"/>
      <c r="Y41" s="19"/>
      <c r="Z41" s="18"/>
      <c r="AA41" s="19"/>
      <c r="AC41" s="39"/>
      <c r="AD41" s="40"/>
      <c r="AI41" s="4"/>
      <c r="AJ41" s="4"/>
      <c r="AL41" s="4"/>
      <c r="AM41" s="4"/>
      <c r="AN41" s="4"/>
      <c r="AO41" s="4"/>
      <c r="AP41" s="4"/>
      <c r="AQ41" s="4"/>
      <c r="AR41" s="4"/>
      <c r="AS41" s="4"/>
      <c r="AT41" s="4"/>
      <c r="AU41" s="4"/>
      <c r="AV41" s="4"/>
      <c r="AW41" s="4"/>
      <c r="AX41" s="4"/>
      <c r="AY41" s="4"/>
      <c r="BA41" s="4"/>
      <c r="BB41" s="2"/>
      <c r="BC41" s="2"/>
      <c r="BD41" s="4"/>
      <c r="BF41" s="31"/>
      <c r="BG41" s="31"/>
      <c r="BH41" s="31"/>
      <c r="BI41" s="31"/>
      <c r="BJ41" s="31"/>
      <c r="BK41" s="31"/>
      <c r="BL41" s="31"/>
      <c r="BM41" s="31"/>
      <c r="BN41" s="31"/>
      <c r="BO41" s="31"/>
      <c r="BQ41" s="4"/>
    </row>
    <row r="42" spans="12:69">
      <c r="L42" s="2"/>
      <c r="M42" s="18"/>
      <c r="N42" s="2"/>
      <c r="O42" s="2"/>
      <c r="Q42" s="2"/>
      <c r="R42" s="2"/>
      <c r="T42" s="19"/>
      <c r="U42" s="18"/>
      <c r="V42" s="19"/>
      <c r="W42" s="18"/>
      <c r="X42" s="19"/>
      <c r="Z42" s="18"/>
      <c r="AC42" s="39"/>
      <c r="AD42" s="40"/>
      <c r="AI42" s="4"/>
      <c r="AJ42" s="4"/>
      <c r="AL42" s="4"/>
      <c r="AM42" s="4"/>
      <c r="AN42" s="4"/>
      <c r="AO42" s="4"/>
      <c r="AP42" s="4"/>
      <c r="AQ42" s="4"/>
      <c r="AR42" s="4"/>
      <c r="AS42" s="4"/>
      <c r="AT42" s="4"/>
      <c r="AU42" s="4"/>
      <c r="AV42" s="4"/>
      <c r="AW42" s="4"/>
      <c r="AX42" s="4"/>
      <c r="AY42" s="4"/>
      <c r="BA42" s="4"/>
      <c r="BB42" s="2"/>
      <c r="BC42" s="2"/>
      <c r="BD42" s="4"/>
      <c r="BF42" s="31"/>
      <c r="BG42" s="31"/>
      <c r="BH42" s="31"/>
      <c r="BI42" s="31"/>
      <c r="BJ42" s="31"/>
      <c r="BK42" s="31"/>
      <c r="BL42" s="31"/>
      <c r="BM42" s="31"/>
      <c r="BN42" s="31"/>
      <c r="BO42" s="31"/>
      <c r="BQ42" s="4"/>
    </row>
    <row r="43" spans="12:69">
      <c r="L43" s="2"/>
      <c r="M43" s="18"/>
      <c r="N43" s="2"/>
      <c r="O43" s="2"/>
      <c r="Q43" s="2"/>
      <c r="R43" s="2"/>
      <c r="T43" s="19"/>
      <c r="U43" s="18"/>
      <c r="V43" s="19"/>
      <c r="W43" s="18"/>
      <c r="X43" s="19"/>
      <c r="Y43" s="19"/>
      <c r="Z43" s="18"/>
      <c r="AA43" s="19"/>
      <c r="AB43" s="19"/>
      <c r="AC43" s="39"/>
      <c r="AD43" s="40"/>
      <c r="AI43" s="4"/>
      <c r="AJ43" s="4"/>
      <c r="AL43" s="4"/>
      <c r="AM43" s="4"/>
      <c r="AN43" s="4"/>
      <c r="AO43" s="4"/>
      <c r="AP43" s="4"/>
      <c r="AQ43" s="4"/>
      <c r="AR43" s="4"/>
      <c r="AS43" s="4"/>
      <c r="AT43" s="4"/>
      <c r="AU43" s="4"/>
      <c r="AV43" s="4"/>
      <c r="AW43" s="4"/>
      <c r="AX43" s="4"/>
      <c r="AY43" s="4"/>
      <c r="BA43" s="4"/>
      <c r="BB43" s="2"/>
      <c r="BC43" s="2"/>
      <c r="BD43" s="4"/>
      <c r="BF43" s="31"/>
      <c r="BG43" s="31"/>
      <c r="BH43" s="31"/>
      <c r="BI43" s="31"/>
      <c r="BJ43" s="31"/>
      <c r="BK43" s="31"/>
      <c r="BL43" s="31"/>
      <c r="BM43" s="31"/>
      <c r="BN43" s="31"/>
      <c r="BO43" s="31"/>
      <c r="BQ43" s="4"/>
    </row>
    <row r="44" spans="12:69">
      <c r="L44" s="2"/>
      <c r="M44" s="18"/>
      <c r="N44" s="2"/>
      <c r="O44" s="2"/>
      <c r="Q44" s="2"/>
      <c r="R44" s="2"/>
      <c r="T44" s="19"/>
      <c r="U44" s="18"/>
      <c r="V44" s="19"/>
      <c r="W44" s="18"/>
      <c r="X44" s="19"/>
      <c r="Z44" s="18"/>
      <c r="AC44" s="39"/>
      <c r="AD44" s="40"/>
      <c r="AI44" s="4"/>
      <c r="AJ44" s="4"/>
      <c r="AL44" s="4"/>
      <c r="AM44" s="4"/>
      <c r="AN44" s="4"/>
      <c r="AO44" s="4"/>
      <c r="AP44" s="4"/>
      <c r="AQ44" s="4"/>
      <c r="AR44" s="4"/>
      <c r="AS44" s="4"/>
      <c r="AT44" s="4"/>
      <c r="AU44" s="4"/>
      <c r="AV44" s="4"/>
      <c r="AW44" s="4"/>
      <c r="AX44" s="4"/>
      <c r="AY44" s="4"/>
      <c r="BA44" s="4"/>
      <c r="BB44" s="2"/>
      <c r="BC44" s="2"/>
      <c r="BD44" s="4"/>
      <c r="BF44" s="31"/>
      <c r="BG44" s="31"/>
      <c r="BH44" s="31"/>
      <c r="BI44" s="31"/>
      <c r="BJ44" s="31"/>
      <c r="BK44" s="31"/>
      <c r="BL44" s="31"/>
      <c r="BM44" s="31"/>
      <c r="BN44" s="31"/>
      <c r="BO44" s="31"/>
      <c r="BQ44" s="4"/>
    </row>
    <row r="45" spans="12:69">
      <c r="L45" s="2"/>
      <c r="M45" s="18"/>
      <c r="N45" s="2"/>
      <c r="O45" s="2"/>
      <c r="Q45" s="2"/>
      <c r="R45" s="2"/>
      <c r="T45" s="19"/>
      <c r="U45" s="18"/>
      <c r="V45" s="19"/>
      <c r="W45" s="18"/>
      <c r="X45" s="19"/>
      <c r="Y45" s="19"/>
      <c r="Z45" s="18"/>
      <c r="AA45" s="19"/>
      <c r="AC45" s="39"/>
      <c r="AD45" s="40"/>
      <c r="AI45" s="4"/>
      <c r="AJ45" s="4"/>
      <c r="AL45" s="4"/>
      <c r="AM45" s="4"/>
      <c r="AN45" s="4"/>
      <c r="AO45" s="4"/>
      <c r="AP45" s="4"/>
      <c r="AQ45" s="4"/>
      <c r="AR45" s="4"/>
      <c r="AS45" s="4"/>
      <c r="AT45" s="4"/>
      <c r="AU45" s="4"/>
      <c r="AV45" s="4"/>
      <c r="AW45" s="4"/>
      <c r="AX45" s="4"/>
      <c r="AY45" s="4"/>
      <c r="BA45" s="4"/>
      <c r="BB45" s="2"/>
      <c r="BC45" s="2"/>
      <c r="BD45" s="4"/>
      <c r="BF45" s="31"/>
      <c r="BG45" s="31"/>
      <c r="BH45" s="31"/>
      <c r="BI45" s="31"/>
      <c r="BJ45" s="31"/>
      <c r="BK45" s="31"/>
      <c r="BL45" s="31"/>
      <c r="BM45" s="31"/>
      <c r="BN45" s="31"/>
      <c r="BO45" s="31"/>
      <c r="BQ45" s="4"/>
    </row>
    <row r="46" spans="12:69">
      <c r="L46" s="2"/>
      <c r="M46" s="18"/>
      <c r="N46" s="2"/>
      <c r="O46" s="2"/>
      <c r="Q46" s="2"/>
      <c r="R46" s="2"/>
      <c r="T46" s="19"/>
      <c r="U46" s="18"/>
      <c r="V46" s="19"/>
      <c r="W46" s="18"/>
      <c r="X46" s="19"/>
      <c r="Z46" s="18"/>
      <c r="AC46" s="39"/>
      <c r="AD46" s="40"/>
      <c r="AI46" s="4"/>
      <c r="AJ46" s="4"/>
      <c r="AL46" s="4"/>
      <c r="AM46" s="4"/>
      <c r="AN46" s="4"/>
      <c r="AO46" s="4"/>
      <c r="AP46" s="4"/>
      <c r="AQ46" s="4"/>
      <c r="AR46" s="4"/>
      <c r="AS46" s="4"/>
      <c r="AT46" s="4"/>
      <c r="AU46" s="4"/>
      <c r="AV46" s="4"/>
      <c r="AW46" s="4"/>
      <c r="AX46" s="4"/>
      <c r="AY46" s="4"/>
      <c r="BA46" s="4"/>
      <c r="BB46" s="2"/>
      <c r="BC46" s="2"/>
      <c r="BD46" s="4"/>
      <c r="BF46" s="31"/>
      <c r="BG46" s="31"/>
      <c r="BH46" s="31"/>
      <c r="BI46" s="31"/>
      <c r="BJ46" s="31"/>
      <c r="BK46" s="31"/>
      <c r="BL46" s="31"/>
      <c r="BM46" s="31"/>
      <c r="BN46" s="31"/>
      <c r="BO46" s="31"/>
      <c r="BQ46" s="4"/>
    </row>
    <row r="47" spans="12:69">
      <c r="L47" s="2"/>
      <c r="M47" s="18"/>
      <c r="N47" s="2"/>
      <c r="O47" s="2"/>
      <c r="Q47" s="2"/>
      <c r="R47" s="2"/>
      <c r="T47" s="19"/>
      <c r="U47" s="18"/>
      <c r="V47" s="19"/>
      <c r="W47" s="18"/>
      <c r="X47" s="19"/>
      <c r="Y47" s="19"/>
      <c r="Z47" s="18"/>
      <c r="AA47" s="19"/>
      <c r="AB47" s="19"/>
      <c r="AC47" s="39"/>
      <c r="AD47" s="40"/>
      <c r="AI47" s="4"/>
      <c r="AJ47" s="4"/>
      <c r="AL47" s="4"/>
      <c r="AM47" s="4"/>
      <c r="AN47" s="4"/>
      <c r="AO47" s="4"/>
      <c r="AP47" s="4"/>
      <c r="AQ47" s="4"/>
      <c r="AR47" s="4"/>
      <c r="AS47" s="4"/>
      <c r="AT47" s="4"/>
      <c r="AU47" s="4"/>
      <c r="AV47" s="4"/>
      <c r="AW47" s="4"/>
      <c r="AX47" s="4"/>
      <c r="AY47" s="4"/>
      <c r="BA47" s="4"/>
      <c r="BB47" s="2"/>
      <c r="BC47" s="2"/>
      <c r="BD47" s="4"/>
      <c r="BF47" s="31"/>
      <c r="BG47" s="31"/>
      <c r="BH47" s="31"/>
      <c r="BI47" s="31"/>
      <c r="BJ47" s="31"/>
      <c r="BK47" s="31"/>
      <c r="BL47" s="31"/>
      <c r="BM47" s="31"/>
      <c r="BN47" s="31"/>
      <c r="BO47" s="31"/>
      <c r="BQ47" s="4"/>
    </row>
    <row r="48" spans="12:69">
      <c r="L48" s="2"/>
      <c r="M48" s="18"/>
      <c r="N48" s="2"/>
      <c r="O48" s="2"/>
      <c r="Q48" s="2"/>
      <c r="R48" s="2"/>
      <c r="T48" s="19"/>
      <c r="U48" s="18"/>
      <c r="V48" s="19"/>
      <c r="W48" s="18"/>
      <c r="X48" s="19"/>
      <c r="Z48" s="18"/>
      <c r="AC48" s="39"/>
      <c r="AD48" s="40"/>
      <c r="AI48" s="4"/>
      <c r="AJ48" s="4"/>
      <c r="AL48" s="4"/>
      <c r="AM48" s="4"/>
      <c r="AN48" s="4"/>
      <c r="AO48" s="4"/>
      <c r="AP48" s="4"/>
      <c r="AQ48" s="4"/>
      <c r="AR48" s="4"/>
      <c r="AS48" s="4"/>
      <c r="AT48" s="4"/>
      <c r="AU48" s="4"/>
      <c r="AV48" s="4"/>
      <c r="AW48" s="4"/>
      <c r="AX48" s="4"/>
      <c r="AY48" s="4"/>
      <c r="BA48" s="4"/>
      <c r="BB48" s="2"/>
      <c r="BC48" s="2"/>
      <c r="BD48" s="4"/>
      <c r="BF48" s="31"/>
      <c r="BG48" s="31"/>
      <c r="BH48" s="31"/>
      <c r="BI48" s="31"/>
      <c r="BJ48" s="31"/>
      <c r="BK48" s="31"/>
      <c r="BL48" s="31"/>
      <c r="BM48" s="31"/>
      <c r="BN48" s="31"/>
      <c r="BO48" s="31"/>
      <c r="BQ48" s="4"/>
    </row>
    <row r="49" spans="12:69">
      <c r="L49" s="2"/>
      <c r="M49" s="18"/>
      <c r="N49" s="2"/>
      <c r="O49" s="2"/>
      <c r="Q49" s="2"/>
      <c r="R49" s="2"/>
      <c r="T49" s="19"/>
      <c r="U49" s="18"/>
      <c r="V49" s="19"/>
      <c r="W49" s="18"/>
      <c r="X49" s="19"/>
      <c r="Y49" s="19"/>
      <c r="Z49" s="18"/>
      <c r="AA49" s="19"/>
      <c r="AC49" s="39"/>
      <c r="AD49" s="40"/>
      <c r="AI49" s="4"/>
      <c r="AJ49" s="4"/>
      <c r="AL49" s="4"/>
      <c r="AM49" s="4"/>
      <c r="AN49" s="4"/>
      <c r="AO49" s="4"/>
      <c r="AP49" s="4"/>
      <c r="AQ49" s="4"/>
      <c r="AR49" s="4"/>
      <c r="AS49" s="4"/>
      <c r="AT49" s="4"/>
      <c r="AU49" s="4"/>
      <c r="AV49" s="4"/>
      <c r="AW49" s="4"/>
      <c r="AX49" s="4"/>
      <c r="AY49" s="4"/>
      <c r="BA49" s="4"/>
      <c r="BB49" s="2"/>
      <c r="BC49" s="2"/>
      <c r="BD49" s="4"/>
      <c r="BF49" s="31"/>
      <c r="BG49" s="31"/>
      <c r="BH49" s="31"/>
      <c r="BI49" s="31"/>
      <c r="BJ49" s="31"/>
      <c r="BK49" s="31"/>
      <c r="BL49" s="31"/>
      <c r="BM49" s="31"/>
      <c r="BN49" s="31"/>
      <c r="BO49" s="31"/>
      <c r="BQ49" s="4"/>
    </row>
    <row r="50" spans="12:69">
      <c r="L50" s="2"/>
      <c r="M50" s="18"/>
      <c r="N50" s="2"/>
      <c r="O50" s="2"/>
      <c r="Q50" s="2"/>
      <c r="R50" s="2"/>
      <c r="T50" s="19"/>
      <c r="U50" s="18"/>
      <c r="V50" s="19"/>
      <c r="W50" s="18"/>
      <c r="X50" s="19"/>
      <c r="Z50" s="18"/>
      <c r="AC50" s="39"/>
      <c r="AD50" s="40"/>
      <c r="AI50" s="4"/>
      <c r="AJ50" s="4"/>
      <c r="AL50" s="4"/>
      <c r="AM50" s="4"/>
      <c r="AN50" s="4"/>
      <c r="AO50" s="4"/>
      <c r="AP50" s="4"/>
      <c r="AQ50" s="4"/>
      <c r="AR50" s="4"/>
      <c r="AS50" s="4"/>
      <c r="AT50" s="4"/>
      <c r="AU50" s="4"/>
      <c r="AV50" s="4"/>
      <c r="AW50" s="4"/>
      <c r="AX50" s="4"/>
      <c r="AY50" s="4"/>
      <c r="BA50" s="4"/>
      <c r="BB50" s="2"/>
      <c r="BC50" s="2"/>
      <c r="BD50" s="4"/>
      <c r="BF50" s="31"/>
      <c r="BG50" s="31"/>
      <c r="BH50" s="31"/>
      <c r="BI50" s="31"/>
      <c r="BJ50" s="31"/>
      <c r="BK50" s="31"/>
      <c r="BL50" s="31"/>
      <c r="BM50" s="31"/>
      <c r="BN50" s="31"/>
      <c r="BO50" s="31"/>
      <c r="BQ50" s="4"/>
    </row>
    <row r="51" spans="12:69">
      <c r="L51" s="2"/>
      <c r="M51" s="18"/>
      <c r="N51" s="2"/>
      <c r="O51" s="2"/>
      <c r="Q51" s="2"/>
      <c r="R51" s="2"/>
      <c r="T51" s="19"/>
      <c r="U51" s="18"/>
      <c r="V51" s="19"/>
      <c r="W51" s="18"/>
      <c r="X51" s="19"/>
      <c r="Y51" s="19"/>
      <c r="Z51" s="18"/>
      <c r="AA51" s="19"/>
      <c r="AB51" s="19"/>
      <c r="AC51" s="39"/>
      <c r="AD51" s="40"/>
      <c r="AI51" s="4"/>
      <c r="AJ51" s="4"/>
      <c r="AL51" s="4"/>
      <c r="AM51" s="4"/>
      <c r="AN51" s="4"/>
      <c r="AO51" s="4"/>
      <c r="AP51" s="4"/>
      <c r="AQ51" s="4"/>
      <c r="AR51" s="4"/>
      <c r="AS51" s="4"/>
      <c r="AT51" s="4"/>
      <c r="AU51" s="4"/>
      <c r="AV51" s="4"/>
      <c r="AW51" s="4"/>
      <c r="AX51" s="4"/>
      <c r="AY51" s="4"/>
      <c r="BA51" s="4"/>
      <c r="BB51" s="2"/>
      <c r="BC51" s="2"/>
      <c r="BD51" s="4"/>
      <c r="BF51" s="31"/>
      <c r="BG51" s="31"/>
      <c r="BH51" s="31"/>
      <c r="BI51" s="31"/>
      <c r="BJ51" s="31"/>
      <c r="BK51" s="31"/>
      <c r="BL51" s="31"/>
      <c r="BM51" s="31"/>
      <c r="BN51" s="31"/>
      <c r="BO51" s="31"/>
      <c r="BQ51" s="4"/>
    </row>
    <row r="52" spans="12:69">
      <c r="L52" s="2"/>
      <c r="M52" s="18"/>
      <c r="N52" s="2"/>
      <c r="O52" s="2"/>
      <c r="Q52" s="2"/>
      <c r="R52" s="2"/>
      <c r="T52" s="19"/>
      <c r="U52" s="18"/>
      <c r="V52" s="19"/>
      <c r="W52" s="18"/>
      <c r="X52" s="19"/>
      <c r="Y52" s="19"/>
      <c r="Z52" s="18"/>
      <c r="AA52" s="19"/>
      <c r="AB52" s="19"/>
      <c r="AC52" s="39"/>
      <c r="AD52" s="40"/>
      <c r="AI52" s="4"/>
      <c r="AJ52" s="4"/>
      <c r="AL52" s="4"/>
      <c r="AM52" s="4"/>
      <c r="AN52" s="4"/>
      <c r="AO52" s="4"/>
      <c r="AP52" s="4"/>
      <c r="AQ52" s="4"/>
      <c r="AR52" s="4"/>
      <c r="AS52" s="4"/>
      <c r="AT52" s="4"/>
      <c r="AU52" s="4"/>
      <c r="AV52" s="4"/>
      <c r="AW52" s="4"/>
      <c r="AX52" s="4"/>
      <c r="AY52" s="4"/>
      <c r="BA52" s="4"/>
      <c r="BB52" s="2"/>
      <c r="BC52" s="2"/>
      <c r="BD52" s="4"/>
      <c r="BF52" s="31"/>
      <c r="BG52" s="31"/>
      <c r="BH52" s="31"/>
      <c r="BI52" s="31"/>
      <c r="BJ52" s="31"/>
      <c r="BK52" s="31"/>
      <c r="BL52" s="31"/>
      <c r="BM52" s="31"/>
      <c r="BN52" s="31"/>
      <c r="BO52" s="31"/>
      <c r="BQ52" s="4"/>
    </row>
    <row r="53" spans="12:69">
      <c r="L53" s="2"/>
      <c r="M53" s="18"/>
      <c r="N53" s="2"/>
      <c r="O53" s="2"/>
      <c r="Q53" s="2"/>
      <c r="R53" s="2"/>
      <c r="T53" s="19"/>
      <c r="U53" s="18"/>
      <c r="V53" s="19"/>
      <c r="W53" s="18"/>
      <c r="X53" s="19"/>
      <c r="Z53" s="18"/>
      <c r="AC53" s="39"/>
      <c r="AD53" s="40"/>
      <c r="AI53" s="4"/>
      <c r="AJ53" s="4"/>
      <c r="AL53" s="4"/>
      <c r="AM53" s="4"/>
      <c r="AN53" s="4"/>
      <c r="AO53" s="4"/>
      <c r="AP53" s="4"/>
      <c r="AQ53" s="4"/>
      <c r="AR53" s="4"/>
      <c r="AS53" s="4"/>
      <c r="AT53" s="4"/>
      <c r="AU53" s="4"/>
      <c r="AV53" s="4"/>
      <c r="AW53" s="4"/>
      <c r="AX53" s="4"/>
      <c r="AY53" s="4"/>
      <c r="BA53" s="4"/>
      <c r="BB53" s="2"/>
      <c r="BC53" s="2"/>
      <c r="BD53" s="4"/>
      <c r="BF53" s="31"/>
      <c r="BG53" s="31"/>
      <c r="BH53" s="31"/>
      <c r="BI53" s="31"/>
      <c r="BJ53" s="31"/>
      <c r="BK53" s="31"/>
      <c r="BL53" s="31"/>
      <c r="BM53" s="31"/>
      <c r="BN53" s="31"/>
      <c r="BO53" s="31"/>
      <c r="BQ53" s="4"/>
    </row>
    <row r="54" spans="12:69">
      <c r="L54" s="2"/>
      <c r="M54" s="18"/>
      <c r="N54" s="2"/>
      <c r="O54" s="2"/>
      <c r="Q54" s="2"/>
      <c r="R54" s="2"/>
      <c r="T54" s="19"/>
      <c r="U54" s="18"/>
      <c r="V54" s="19"/>
      <c r="W54" s="18"/>
      <c r="X54" s="19"/>
      <c r="Y54" s="19"/>
      <c r="Z54" s="18"/>
      <c r="AA54" s="19"/>
      <c r="AC54" s="39"/>
      <c r="AD54" s="40"/>
      <c r="AI54" s="4"/>
      <c r="AJ54" s="4"/>
      <c r="AL54" s="4"/>
      <c r="AM54" s="4"/>
      <c r="AN54" s="4"/>
      <c r="AO54" s="4"/>
      <c r="AP54" s="4"/>
      <c r="AQ54" s="4"/>
      <c r="AR54" s="4"/>
      <c r="AS54" s="4"/>
      <c r="AT54" s="4"/>
      <c r="AU54" s="4"/>
      <c r="AV54" s="4"/>
      <c r="AW54" s="4"/>
      <c r="AX54" s="4"/>
      <c r="AY54" s="4"/>
      <c r="BA54" s="4"/>
      <c r="BB54" s="2"/>
      <c r="BC54" s="2"/>
      <c r="BD54" s="4"/>
      <c r="BF54" s="31"/>
      <c r="BG54" s="31"/>
      <c r="BH54" s="31"/>
      <c r="BI54" s="31"/>
      <c r="BJ54" s="31"/>
      <c r="BK54" s="31"/>
      <c r="BL54" s="31"/>
      <c r="BM54" s="31"/>
      <c r="BN54" s="31"/>
      <c r="BO54" s="31"/>
      <c r="BQ54" s="4"/>
    </row>
    <row r="55" spans="12:69">
      <c r="L55" s="2"/>
      <c r="M55" s="18"/>
      <c r="N55" s="2"/>
      <c r="O55" s="2"/>
      <c r="Q55" s="2"/>
      <c r="R55" s="2"/>
      <c r="T55" s="19"/>
      <c r="U55" s="18"/>
      <c r="V55" s="19"/>
      <c r="W55" s="18"/>
      <c r="X55" s="19"/>
      <c r="Z55" s="18"/>
      <c r="AC55" s="39"/>
      <c r="AD55" s="40"/>
      <c r="AI55" s="4"/>
      <c r="AJ55" s="4"/>
      <c r="AL55" s="4"/>
      <c r="AM55" s="4"/>
      <c r="AN55" s="4"/>
      <c r="AO55" s="4"/>
      <c r="AP55" s="4"/>
      <c r="AQ55" s="4"/>
      <c r="AR55" s="4"/>
      <c r="AS55" s="4"/>
      <c r="AT55" s="4"/>
      <c r="AU55" s="4"/>
      <c r="AV55" s="4"/>
      <c r="AW55" s="4"/>
      <c r="AX55" s="4"/>
      <c r="AY55" s="4"/>
      <c r="BA55" s="4"/>
      <c r="BB55" s="2"/>
      <c r="BC55" s="2"/>
      <c r="BD55" s="4"/>
      <c r="BF55" s="31"/>
      <c r="BG55" s="31"/>
      <c r="BH55" s="31"/>
      <c r="BI55" s="31"/>
      <c r="BJ55" s="31"/>
      <c r="BK55" s="31"/>
      <c r="BL55" s="31"/>
      <c r="BM55" s="31"/>
      <c r="BN55" s="31"/>
      <c r="BO55" s="31"/>
      <c r="BQ55" s="4"/>
    </row>
    <row r="56" spans="12:69">
      <c r="L56" s="2"/>
      <c r="M56" s="18"/>
      <c r="N56" s="2"/>
      <c r="O56" s="2"/>
      <c r="Q56" s="2"/>
      <c r="R56" s="2"/>
      <c r="T56" s="19"/>
      <c r="U56" s="18"/>
      <c r="V56" s="19"/>
      <c r="W56" s="18"/>
      <c r="X56" s="19"/>
      <c r="Y56" s="19"/>
      <c r="Z56" s="18"/>
      <c r="AA56" s="19"/>
      <c r="AB56" s="19"/>
      <c r="AC56" s="39"/>
      <c r="AD56" s="40"/>
      <c r="AI56" s="4"/>
      <c r="AJ56" s="4"/>
      <c r="AL56" s="4"/>
      <c r="AM56" s="4"/>
      <c r="AN56" s="4"/>
      <c r="AO56" s="4"/>
      <c r="AP56" s="4"/>
      <c r="AQ56" s="4"/>
      <c r="AR56" s="4"/>
      <c r="AS56" s="4"/>
      <c r="AT56" s="4"/>
      <c r="AU56" s="4"/>
      <c r="AV56" s="4"/>
      <c r="AW56" s="4"/>
      <c r="AX56" s="4"/>
      <c r="AY56" s="4"/>
      <c r="BA56" s="4"/>
      <c r="BB56" s="2"/>
      <c r="BC56" s="2"/>
      <c r="BD56" s="4"/>
      <c r="BF56" s="31"/>
      <c r="BG56" s="31"/>
      <c r="BH56" s="31"/>
      <c r="BI56" s="31"/>
      <c r="BJ56" s="31"/>
      <c r="BK56" s="31"/>
      <c r="BL56" s="31"/>
      <c r="BM56" s="31"/>
      <c r="BN56" s="31"/>
      <c r="BO56" s="31"/>
      <c r="BQ56" s="4"/>
    </row>
    <row r="57" spans="12:69">
      <c r="L57" s="2"/>
      <c r="M57" s="18"/>
      <c r="N57" s="2"/>
      <c r="O57" s="2"/>
      <c r="Q57" s="2"/>
      <c r="R57" s="2"/>
      <c r="T57" s="19"/>
      <c r="U57" s="18"/>
      <c r="V57" s="19"/>
      <c r="W57" s="18"/>
      <c r="X57" s="19"/>
      <c r="Y57" s="19"/>
      <c r="Z57" s="18"/>
      <c r="AA57" s="19"/>
      <c r="AB57" s="19"/>
      <c r="AC57" s="39"/>
      <c r="AD57" s="40"/>
      <c r="AI57" s="4"/>
      <c r="AJ57" s="4"/>
      <c r="AL57" s="4"/>
      <c r="AM57" s="4"/>
      <c r="AN57" s="4"/>
      <c r="AO57" s="4"/>
      <c r="AP57" s="4"/>
      <c r="AQ57" s="4"/>
      <c r="AR57" s="4"/>
      <c r="AS57" s="4"/>
      <c r="AT57" s="4"/>
      <c r="AU57" s="4"/>
      <c r="AV57" s="4"/>
      <c r="AW57" s="4"/>
      <c r="AX57" s="4"/>
      <c r="AY57" s="4"/>
      <c r="BA57" s="4"/>
      <c r="BB57" s="2"/>
      <c r="BC57" s="2"/>
      <c r="BD57" s="4"/>
      <c r="BF57" s="31"/>
      <c r="BG57" s="31"/>
      <c r="BH57" s="31"/>
      <c r="BI57" s="31"/>
      <c r="BJ57" s="31"/>
      <c r="BK57" s="31"/>
      <c r="BL57" s="31"/>
      <c r="BM57" s="31"/>
      <c r="BN57" s="31"/>
      <c r="BO57" s="31"/>
      <c r="BQ57" s="4"/>
    </row>
    <row r="58" spans="12:69">
      <c r="L58" s="2"/>
      <c r="M58" s="18"/>
      <c r="N58" s="2"/>
      <c r="O58" s="2"/>
      <c r="Q58" s="2"/>
      <c r="R58" s="2"/>
      <c r="T58" s="19"/>
      <c r="U58" s="18"/>
      <c r="V58" s="19"/>
      <c r="W58" s="18"/>
      <c r="X58" s="19"/>
      <c r="Z58" s="18"/>
      <c r="AC58" s="39"/>
      <c r="AD58" s="40"/>
      <c r="AI58" s="4"/>
      <c r="AJ58" s="4"/>
      <c r="AL58" s="4"/>
      <c r="AM58" s="4"/>
      <c r="AN58" s="4"/>
      <c r="AO58" s="4"/>
      <c r="AP58" s="4"/>
      <c r="AQ58" s="4"/>
      <c r="AR58" s="4"/>
      <c r="AS58" s="4"/>
      <c r="AT58" s="4"/>
      <c r="AU58" s="4"/>
      <c r="AV58" s="4"/>
      <c r="AW58" s="4"/>
      <c r="AX58" s="4"/>
      <c r="AY58" s="4"/>
      <c r="BA58" s="4"/>
      <c r="BB58" s="2"/>
      <c r="BC58" s="2"/>
      <c r="BD58" s="4"/>
      <c r="BF58" s="31"/>
      <c r="BG58" s="31"/>
      <c r="BH58" s="31"/>
      <c r="BI58" s="31"/>
      <c r="BJ58" s="31"/>
      <c r="BK58" s="31"/>
      <c r="BL58" s="31"/>
      <c r="BM58" s="31"/>
      <c r="BN58" s="31"/>
      <c r="BO58" s="31"/>
      <c r="BQ58" s="4"/>
    </row>
    <row r="59" spans="12:69">
      <c r="L59" s="2"/>
      <c r="M59" s="18"/>
      <c r="N59" s="2"/>
      <c r="O59" s="2"/>
      <c r="Q59" s="2"/>
      <c r="R59" s="2"/>
      <c r="T59" s="19"/>
      <c r="U59" s="18"/>
      <c r="V59" s="19"/>
      <c r="W59" s="18"/>
      <c r="X59" s="19"/>
      <c r="Y59" s="19"/>
      <c r="Z59" s="18"/>
      <c r="AA59" s="19"/>
      <c r="AC59" s="39"/>
      <c r="AD59" s="40"/>
      <c r="AI59" s="4"/>
      <c r="AJ59" s="4"/>
      <c r="AL59" s="4"/>
      <c r="AM59" s="4"/>
      <c r="AN59" s="4"/>
      <c r="AO59" s="4"/>
      <c r="AP59" s="4"/>
      <c r="AQ59" s="4"/>
      <c r="AR59" s="4"/>
      <c r="AS59" s="4"/>
      <c r="AT59" s="4"/>
      <c r="AU59" s="4"/>
      <c r="AV59" s="4"/>
      <c r="AW59" s="4"/>
      <c r="AX59" s="4"/>
      <c r="AY59" s="4"/>
      <c r="BA59" s="4"/>
      <c r="BB59" s="2"/>
      <c r="BC59" s="2"/>
      <c r="BD59" s="4"/>
      <c r="BF59" s="31"/>
      <c r="BG59" s="31"/>
      <c r="BH59" s="31"/>
      <c r="BI59" s="31"/>
      <c r="BJ59" s="31"/>
      <c r="BK59" s="31"/>
      <c r="BL59" s="31"/>
      <c r="BM59" s="31"/>
      <c r="BN59" s="31"/>
      <c r="BO59" s="31"/>
      <c r="BQ59" s="4"/>
    </row>
    <row r="60" spans="12:69">
      <c r="L60" s="2"/>
      <c r="M60" s="18"/>
      <c r="N60" s="2"/>
      <c r="O60" s="2"/>
      <c r="Q60" s="2"/>
      <c r="R60" s="2"/>
      <c r="T60" s="19"/>
      <c r="U60" s="18"/>
      <c r="V60" s="19"/>
      <c r="W60" s="18"/>
      <c r="X60" s="19"/>
      <c r="Z60" s="18"/>
      <c r="AC60" s="39"/>
      <c r="AD60" s="40"/>
      <c r="AI60" s="4"/>
      <c r="AJ60" s="4"/>
      <c r="AL60" s="4"/>
      <c r="AM60" s="4"/>
      <c r="AN60" s="4"/>
      <c r="AO60" s="4"/>
      <c r="AP60" s="4"/>
      <c r="AQ60" s="4"/>
      <c r="AR60" s="4"/>
      <c r="AS60" s="4"/>
      <c r="AT60" s="4"/>
      <c r="AU60" s="4"/>
      <c r="AV60" s="4"/>
      <c r="AW60" s="4"/>
      <c r="AX60" s="4"/>
      <c r="AY60" s="4"/>
      <c r="BA60" s="4"/>
      <c r="BB60" s="2"/>
      <c r="BC60" s="2"/>
      <c r="BD60" s="4"/>
      <c r="BF60" s="31"/>
      <c r="BG60" s="31"/>
      <c r="BH60" s="31"/>
      <c r="BI60" s="31"/>
      <c r="BJ60" s="31"/>
      <c r="BK60" s="31"/>
      <c r="BL60" s="31"/>
      <c r="BM60" s="31"/>
      <c r="BN60" s="31"/>
      <c r="BO60" s="31"/>
      <c r="BQ60" s="4"/>
    </row>
    <row r="61" spans="12:69">
      <c r="L61" s="2"/>
      <c r="M61" s="18"/>
      <c r="N61" s="2"/>
      <c r="O61" s="2"/>
      <c r="Q61" s="2"/>
      <c r="R61" s="2"/>
      <c r="T61" s="19"/>
      <c r="U61" s="18"/>
      <c r="V61" s="19"/>
      <c r="W61" s="18"/>
      <c r="X61" s="19"/>
      <c r="Y61" s="19"/>
      <c r="Z61" s="18"/>
      <c r="AA61" s="19"/>
      <c r="AB61" s="19"/>
      <c r="AC61" s="39"/>
      <c r="AD61" s="40"/>
      <c r="AI61" s="4"/>
      <c r="AJ61" s="4"/>
      <c r="AL61" s="4"/>
      <c r="AM61" s="4"/>
      <c r="AN61" s="4"/>
      <c r="AO61" s="4"/>
      <c r="AP61" s="4"/>
      <c r="AQ61" s="4"/>
      <c r="AR61" s="4"/>
      <c r="AS61" s="4"/>
      <c r="AT61" s="4"/>
      <c r="AU61" s="4"/>
      <c r="AV61" s="4"/>
      <c r="AW61" s="4"/>
      <c r="AX61" s="4"/>
      <c r="AY61" s="4"/>
      <c r="BA61" s="4"/>
      <c r="BB61" s="2"/>
      <c r="BC61" s="2"/>
      <c r="BD61" s="4"/>
      <c r="BF61" s="31"/>
      <c r="BG61" s="31"/>
      <c r="BH61" s="31"/>
      <c r="BI61" s="31"/>
      <c r="BJ61" s="31"/>
      <c r="BK61" s="31"/>
      <c r="BL61" s="31"/>
      <c r="BM61" s="31"/>
      <c r="BN61" s="31"/>
      <c r="BO61" s="31"/>
      <c r="BQ61" s="4"/>
    </row>
    <row r="62" spans="12:69">
      <c r="L62" s="2"/>
      <c r="M62" s="18"/>
      <c r="N62" s="2"/>
      <c r="O62" s="2"/>
      <c r="Q62" s="2"/>
      <c r="R62" s="2"/>
      <c r="T62" s="19"/>
      <c r="U62" s="18"/>
      <c r="V62" s="19"/>
      <c r="W62" s="18"/>
      <c r="X62" s="19"/>
      <c r="Y62" s="19"/>
      <c r="Z62" s="18"/>
      <c r="AA62" s="19"/>
      <c r="AB62" s="19"/>
      <c r="AC62" s="39"/>
      <c r="AD62" s="40"/>
      <c r="AI62" s="4"/>
      <c r="AJ62" s="4"/>
      <c r="AL62" s="4"/>
      <c r="AM62" s="4"/>
      <c r="AN62" s="4"/>
      <c r="AO62" s="4"/>
      <c r="AP62" s="4"/>
      <c r="AQ62" s="4"/>
      <c r="AR62" s="4"/>
      <c r="AS62" s="4"/>
      <c r="AT62" s="4"/>
      <c r="AU62" s="4"/>
      <c r="AV62" s="4"/>
      <c r="AW62" s="4"/>
      <c r="AX62" s="4"/>
      <c r="AY62" s="4"/>
      <c r="BA62" s="4"/>
      <c r="BB62" s="2"/>
      <c r="BC62" s="2"/>
      <c r="BD62" s="4"/>
      <c r="BF62" s="31"/>
      <c r="BG62" s="31"/>
      <c r="BH62" s="31"/>
      <c r="BI62" s="31"/>
      <c r="BJ62" s="31"/>
      <c r="BK62" s="31"/>
      <c r="BL62" s="31"/>
      <c r="BM62" s="31"/>
      <c r="BN62" s="31"/>
      <c r="BO62" s="31"/>
      <c r="BQ62" s="4"/>
    </row>
    <row r="63" spans="12:69">
      <c r="L63" s="2"/>
      <c r="M63" s="18"/>
      <c r="N63" s="2"/>
      <c r="O63" s="2"/>
      <c r="Q63" s="2"/>
      <c r="R63" s="2"/>
      <c r="T63" s="19"/>
      <c r="U63" s="18"/>
      <c r="V63" s="19"/>
      <c r="W63" s="18"/>
      <c r="X63" s="19"/>
      <c r="Z63" s="18"/>
      <c r="AC63" s="39"/>
      <c r="AD63" s="40"/>
      <c r="AI63" s="4"/>
      <c r="AJ63" s="4"/>
      <c r="AL63" s="4"/>
      <c r="AM63" s="4"/>
      <c r="AN63" s="4"/>
      <c r="AO63" s="4"/>
      <c r="AP63" s="4"/>
      <c r="AQ63" s="4"/>
      <c r="AR63" s="4"/>
      <c r="AS63" s="4"/>
      <c r="AT63" s="4"/>
      <c r="AU63" s="4"/>
      <c r="AV63" s="4"/>
      <c r="AW63" s="4"/>
      <c r="AX63" s="4"/>
      <c r="AY63" s="4"/>
      <c r="BA63" s="4"/>
      <c r="BB63" s="2"/>
      <c r="BC63" s="2"/>
      <c r="BD63" s="4"/>
      <c r="BF63" s="31"/>
      <c r="BG63" s="31"/>
      <c r="BH63" s="31"/>
      <c r="BI63" s="31"/>
      <c r="BJ63" s="31"/>
      <c r="BK63" s="31"/>
      <c r="BL63" s="31"/>
      <c r="BM63" s="31"/>
      <c r="BN63" s="31"/>
      <c r="BO63" s="31"/>
      <c r="BQ63" s="4"/>
    </row>
    <row r="64" spans="12:69">
      <c r="L64" s="2"/>
      <c r="M64" s="18"/>
      <c r="N64" s="2"/>
      <c r="O64" s="2"/>
      <c r="Q64" s="2"/>
      <c r="R64" s="2"/>
      <c r="T64" s="19"/>
      <c r="U64" s="18"/>
      <c r="V64" s="19"/>
      <c r="W64" s="18"/>
      <c r="X64" s="19"/>
      <c r="Y64" s="19"/>
      <c r="Z64" s="18"/>
      <c r="AA64" s="19"/>
      <c r="AC64" s="39"/>
      <c r="AD64" s="40"/>
      <c r="AI64" s="4"/>
      <c r="AJ64" s="4"/>
      <c r="AL64" s="4"/>
      <c r="AM64" s="4"/>
      <c r="AN64" s="4"/>
      <c r="AO64" s="4"/>
      <c r="AP64" s="4"/>
      <c r="AQ64" s="4"/>
      <c r="AR64" s="4"/>
      <c r="AS64" s="4"/>
      <c r="AT64" s="4"/>
      <c r="AU64" s="4"/>
      <c r="AV64" s="4"/>
      <c r="AW64" s="4"/>
      <c r="AX64" s="4"/>
      <c r="AY64" s="4"/>
      <c r="BA64" s="4"/>
      <c r="BB64" s="2"/>
      <c r="BC64" s="2"/>
      <c r="BD64" s="4"/>
      <c r="BF64" s="31"/>
      <c r="BG64" s="31"/>
      <c r="BH64" s="31"/>
      <c r="BI64" s="31"/>
      <c r="BJ64" s="31"/>
      <c r="BK64" s="31"/>
      <c r="BL64" s="31"/>
      <c r="BM64" s="31"/>
      <c r="BN64" s="31"/>
      <c r="BO64" s="31"/>
      <c r="BQ64" s="4"/>
    </row>
    <row r="65" spans="13:69">
      <c r="M65" s="18"/>
      <c r="T65" s="19"/>
      <c r="U65" s="19"/>
      <c r="V65" s="19"/>
      <c r="W65" s="19"/>
      <c r="X65" s="19"/>
      <c r="Y65" s="19"/>
      <c r="Z65" s="19"/>
      <c r="AA65" s="19"/>
      <c r="AB65" s="19"/>
      <c r="AC65" s="39"/>
      <c r="AD65" s="40"/>
      <c r="AI65" s="4"/>
      <c r="AJ65" s="4"/>
      <c r="AL65" s="4"/>
      <c r="AM65" s="4"/>
      <c r="AN65" s="4"/>
      <c r="AO65" s="4"/>
      <c r="AP65" s="4"/>
      <c r="AQ65" s="4"/>
      <c r="AR65" s="4"/>
      <c r="AS65" s="4"/>
      <c r="AT65" s="4"/>
      <c r="AU65" s="4"/>
      <c r="AV65" s="4"/>
      <c r="AW65" s="4"/>
      <c r="AX65" s="4"/>
      <c r="AY65" s="4"/>
      <c r="BA65" s="4"/>
      <c r="BC65" s="31"/>
      <c r="BD65" s="31"/>
      <c r="BE65" s="31"/>
      <c r="BF65" s="31"/>
      <c r="BG65" s="31"/>
      <c r="BH65" s="31"/>
      <c r="BI65" s="31"/>
      <c r="BJ65" s="31"/>
      <c r="BK65" s="31"/>
      <c r="BL65" s="31"/>
      <c r="BM65" s="31"/>
      <c r="BN65" s="31"/>
      <c r="BO65" s="31"/>
      <c r="BQ65" s="4"/>
    </row>
    <row r="66" spans="13:69">
      <c r="M66" s="18"/>
      <c r="T66" s="19"/>
      <c r="U66" s="19"/>
      <c r="V66" s="19"/>
      <c r="W66" s="19"/>
      <c r="X66" s="19"/>
      <c r="Y66" s="19"/>
      <c r="Z66" s="19"/>
      <c r="AA66" s="19"/>
      <c r="AC66" s="39"/>
      <c r="AD66" s="40"/>
      <c r="AI66" s="4"/>
      <c r="AJ66" s="4"/>
      <c r="AL66" s="4"/>
      <c r="AM66" s="4"/>
      <c r="AN66" s="4"/>
      <c r="AO66" s="4"/>
      <c r="AP66" s="4"/>
      <c r="AQ66" s="4"/>
      <c r="AR66" s="4"/>
      <c r="AS66" s="4"/>
      <c r="AT66" s="4"/>
      <c r="AU66" s="4"/>
      <c r="AV66" s="4"/>
      <c r="AW66" s="4"/>
      <c r="AX66" s="4"/>
      <c r="AY66" s="4"/>
      <c r="BA66" s="4"/>
      <c r="BC66" s="31"/>
      <c r="BD66" s="31"/>
      <c r="BE66" s="31"/>
      <c r="BF66" s="31"/>
      <c r="BG66" s="31"/>
      <c r="BH66" s="31"/>
      <c r="BI66" s="31"/>
      <c r="BJ66" s="31"/>
      <c r="BK66" s="31"/>
      <c r="BL66" s="31"/>
      <c r="BM66" s="31"/>
      <c r="BN66" s="31"/>
      <c r="BO66" s="31"/>
      <c r="BQ66" s="4"/>
    </row>
    <row r="67" spans="13:69">
      <c r="M67" s="18"/>
      <c r="T67" s="19"/>
      <c r="U67" s="19"/>
      <c r="V67" s="19"/>
      <c r="W67" s="19"/>
      <c r="X67" s="19"/>
      <c r="Y67" s="19"/>
      <c r="Z67" s="19"/>
      <c r="AA67" s="19"/>
      <c r="AC67" s="39"/>
      <c r="AD67" s="40"/>
      <c r="AI67" s="4"/>
      <c r="AJ67" s="4"/>
      <c r="AL67" s="4"/>
      <c r="AM67" s="4"/>
      <c r="AN67" s="4"/>
      <c r="AO67" s="4"/>
      <c r="AP67" s="4"/>
      <c r="AQ67" s="4"/>
      <c r="AR67" s="4"/>
      <c r="AS67" s="4"/>
      <c r="AT67" s="4"/>
      <c r="AU67" s="4"/>
      <c r="AV67" s="4"/>
      <c r="AW67" s="4"/>
      <c r="AX67" s="4"/>
      <c r="AY67" s="4"/>
      <c r="BA67" s="4"/>
      <c r="BC67" s="31"/>
      <c r="BD67" s="31"/>
      <c r="BE67" s="31"/>
      <c r="BF67" s="31"/>
      <c r="BG67" s="31"/>
      <c r="BH67" s="31"/>
      <c r="BI67" s="31"/>
      <c r="BJ67" s="31"/>
      <c r="BK67" s="31"/>
      <c r="BL67" s="31"/>
      <c r="BM67" s="31"/>
      <c r="BN67" s="31"/>
      <c r="BO67" s="31"/>
      <c r="BQ67" s="4"/>
    </row>
    <row r="68" spans="13:69">
      <c r="M68" s="18"/>
      <c r="T68" s="19"/>
      <c r="U68" s="19"/>
      <c r="V68" s="19"/>
      <c r="W68" s="19"/>
      <c r="X68" s="19"/>
      <c r="Y68" s="19"/>
      <c r="Z68" s="19"/>
      <c r="AA68" s="19"/>
      <c r="AC68" s="39"/>
      <c r="AD68" s="40"/>
      <c r="AI68" s="4"/>
      <c r="AJ68" s="4"/>
      <c r="AL68" s="4"/>
      <c r="AM68" s="4"/>
      <c r="AN68" s="4"/>
      <c r="AO68" s="4"/>
      <c r="AP68" s="4"/>
      <c r="AQ68" s="4"/>
      <c r="AR68" s="4"/>
      <c r="AS68" s="4"/>
      <c r="AT68" s="4"/>
      <c r="AU68" s="4"/>
      <c r="AV68" s="4"/>
      <c r="AW68" s="4"/>
      <c r="AX68" s="4"/>
      <c r="AY68" s="4"/>
      <c r="BA68" s="4"/>
      <c r="BC68" s="31"/>
      <c r="BD68" s="31"/>
      <c r="BE68" s="31"/>
      <c r="BF68" s="31"/>
      <c r="BG68" s="31"/>
      <c r="BH68" s="31"/>
      <c r="BI68" s="31"/>
      <c r="BJ68" s="31"/>
      <c r="BK68" s="31"/>
      <c r="BL68" s="31"/>
      <c r="BM68" s="31"/>
      <c r="BN68" s="31"/>
      <c r="BO68" s="31"/>
      <c r="BQ68" s="4"/>
    </row>
    <row r="69" spans="13:69">
      <c r="M69" s="18"/>
      <c r="T69" s="19"/>
      <c r="U69" s="19"/>
      <c r="V69" s="19"/>
      <c r="W69" s="19"/>
      <c r="X69" s="19"/>
      <c r="Y69" s="19"/>
      <c r="Z69" s="19"/>
      <c r="AA69" s="19"/>
      <c r="AB69" s="19"/>
      <c r="AC69" s="39"/>
      <c r="AD69" s="40"/>
      <c r="AI69" s="4"/>
      <c r="AJ69" s="4"/>
      <c r="AL69" s="4"/>
      <c r="AM69" s="4"/>
      <c r="AN69" s="4"/>
      <c r="AO69" s="4"/>
      <c r="AP69" s="4"/>
      <c r="AQ69" s="4"/>
      <c r="AR69" s="4"/>
      <c r="AS69" s="4"/>
      <c r="AT69" s="4"/>
      <c r="AU69" s="4"/>
      <c r="AV69" s="4"/>
      <c r="AW69" s="4"/>
      <c r="AX69" s="4"/>
      <c r="AY69" s="4"/>
      <c r="BA69" s="4"/>
      <c r="BC69" s="31"/>
      <c r="BD69" s="31"/>
      <c r="BE69" s="31"/>
      <c r="BF69" s="31"/>
      <c r="BG69" s="31"/>
      <c r="BH69" s="31"/>
      <c r="BI69" s="31"/>
      <c r="BJ69" s="31"/>
      <c r="BK69" s="31"/>
      <c r="BL69" s="31"/>
      <c r="BM69" s="31"/>
      <c r="BN69" s="31"/>
      <c r="BO69" s="31"/>
      <c r="BQ69" s="4"/>
    </row>
    <row r="70" spans="13:69">
      <c r="M70" s="18"/>
      <c r="T70" s="19"/>
      <c r="U70" s="19"/>
      <c r="V70" s="19"/>
      <c r="W70" s="19"/>
      <c r="X70" s="19"/>
      <c r="Y70" s="19"/>
      <c r="Z70" s="19"/>
      <c r="AA70" s="19"/>
      <c r="AB70" s="19"/>
      <c r="AC70" s="39"/>
      <c r="AD70" s="40"/>
      <c r="AI70" s="4"/>
      <c r="AJ70" s="4"/>
      <c r="AL70" s="4"/>
      <c r="AM70" s="4"/>
      <c r="AN70" s="4"/>
      <c r="AO70" s="4"/>
      <c r="AP70" s="4"/>
      <c r="AQ70" s="4"/>
      <c r="AR70" s="4"/>
      <c r="AS70" s="4"/>
      <c r="AT70" s="4"/>
      <c r="AU70" s="4"/>
      <c r="AV70" s="4"/>
      <c r="AW70" s="4"/>
      <c r="AX70" s="4"/>
      <c r="AY70" s="4"/>
      <c r="BA70" s="4"/>
      <c r="BC70" s="31"/>
      <c r="BD70" s="31"/>
      <c r="BE70" s="31"/>
      <c r="BF70" s="31"/>
      <c r="BG70" s="31"/>
      <c r="BH70" s="31"/>
      <c r="BI70" s="31"/>
      <c r="BJ70" s="31"/>
      <c r="BK70" s="31"/>
      <c r="BL70" s="31"/>
      <c r="BM70" s="31"/>
      <c r="BN70" s="31"/>
      <c r="BO70" s="31"/>
      <c r="BQ70" s="4"/>
    </row>
    <row r="71" spans="13:69">
      <c r="M71" s="18"/>
      <c r="T71" s="19"/>
      <c r="U71" s="19"/>
      <c r="V71" s="19"/>
      <c r="W71" s="19"/>
      <c r="X71" s="19"/>
      <c r="Y71" s="19"/>
      <c r="Z71" s="19"/>
      <c r="AA71" s="19"/>
      <c r="AC71" s="39"/>
      <c r="AD71" s="40"/>
      <c r="AI71" s="4"/>
      <c r="AJ71" s="4"/>
      <c r="AL71" s="4"/>
      <c r="AM71" s="4"/>
      <c r="AN71" s="4"/>
      <c r="AO71" s="4"/>
      <c r="AP71" s="4"/>
      <c r="AQ71" s="4"/>
      <c r="AR71" s="4"/>
      <c r="AS71" s="4"/>
      <c r="AT71" s="4"/>
      <c r="AU71" s="4"/>
      <c r="AV71" s="4"/>
      <c r="AW71" s="4"/>
      <c r="AX71" s="4"/>
      <c r="AY71" s="4"/>
      <c r="BA71" s="4"/>
      <c r="BC71" s="31"/>
      <c r="BD71" s="31"/>
      <c r="BE71" s="31"/>
      <c r="BF71" s="31"/>
      <c r="BG71" s="31"/>
      <c r="BH71" s="31"/>
      <c r="BI71" s="31"/>
      <c r="BJ71" s="31"/>
      <c r="BK71" s="31"/>
      <c r="BL71" s="31"/>
      <c r="BM71" s="31"/>
      <c r="BN71" s="31"/>
      <c r="BO71" s="31"/>
      <c r="BQ71" s="4"/>
    </row>
    <row r="72" spans="13:69">
      <c r="M72" s="18"/>
      <c r="T72" s="19"/>
      <c r="U72" s="19"/>
      <c r="V72" s="19"/>
      <c r="W72" s="19"/>
      <c r="X72" s="19"/>
      <c r="Y72" s="19"/>
      <c r="Z72" s="19"/>
      <c r="AA72" s="19"/>
      <c r="AC72" s="39"/>
      <c r="AD72" s="40"/>
      <c r="AI72" s="4"/>
      <c r="AJ72" s="4"/>
      <c r="AL72" s="4"/>
      <c r="AM72" s="4"/>
      <c r="AN72" s="4"/>
      <c r="AO72" s="4"/>
      <c r="AP72" s="4"/>
      <c r="AQ72" s="4"/>
      <c r="AR72" s="4"/>
      <c r="AS72" s="4"/>
      <c r="AT72" s="4"/>
      <c r="AU72" s="4"/>
      <c r="AV72" s="4"/>
      <c r="AW72" s="4"/>
      <c r="AX72" s="4"/>
      <c r="AY72" s="4"/>
      <c r="BA72" s="4"/>
      <c r="BC72" s="31"/>
      <c r="BD72" s="31"/>
      <c r="BE72" s="31"/>
      <c r="BF72" s="31"/>
      <c r="BG72" s="31"/>
      <c r="BH72" s="31"/>
      <c r="BI72" s="31"/>
      <c r="BJ72" s="31"/>
      <c r="BK72" s="31"/>
      <c r="BL72" s="31"/>
      <c r="BM72" s="31"/>
      <c r="BN72" s="31"/>
      <c r="BO72" s="31"/>
      <c r="BQ72" s="4"/>
    </row>
    <row r="73" spans="13:69">
      <c r="M73" s="18"/>
      <c r="T73" s="19"/>
      <c r="U73" s="19"/>
      <c r="V73" s="19"/>
      <c r="W73" s="19"/>
      <c r="X73" s="19"/>
      <c r="Y73" s="19"/>
      <c r="Z73" s="19"/>
      <c r="AA73" s="19"/>
      <c r="AC73" s="39"/>
      <c r="AD73" s="40"/>
      <c r="AI73" s="4"/>
      <c r="AJ73" s="4"/>
      <c r="AL73" s="4"/>
      <c r="AM73" s="4"/>
      <c r="AN73" s="4"/>
      <c r="AO73" s="4"/>
      <c r="AP73" s="4"/>
      <c r="AQ73" s="4"/>
      <c r="AR73" s="4"/>
      <c r="AS73" s="4"/>
      <c r="AT73" s="4"/>
      <c r="AU73" s="4"/>
      <c r="AV73" s="4"/>
      <c r="AW73" s="4"/>
      <c r="AX73" s="4"/>
      <c r="AY73" s="4"/>
      <c r="BA73" s="4"/>
      <c r="BC73" s="31"/>
      <c r="BD73" s="31"/>
      <c r="BE73" s="31"/>
      <c r="BF73" s="31"/>
      <c r="BG73" s="31"/>
      <c r="BH73" s="31"/>
      <c r="BI73" s="31"/>
      <c r="BJ73" s="31"/>
      <c r="BK73" s="31"/>
      <c r="BL73" s="31"/>
      <c r="BM73" s="31"/>
      <c r="BN73" s="31"/>
      <c r="BO73" s="31"/>
      <c r="BQ73" s="4"/>
    </row>
    <row r="74" spans="13:69">
      <c r="M74" s="18"/>
      <c r="T74" s="19"/>
      <c r="U74" s="19"/>
      <c r="V74" s="19"/>
      <c r="W74" s="19"/>
      <c r="X74" s="19"/>
      <c r="Y74" s="19"/>
      <c r="Z74" s="19"/>
      <c r="AA74" s="19"/>
      <c r="AB74" s="19"/>
      <c r="AC74" s="39"/>
      <c r="AD74" s="40"/>
      <c r="AI74" s="4"/>
      <c r="AJ74" s="4"/>
      <c r="AL74" s="4"/>
      <c r="AM74" s="4"/>
      <c r="AN74" s="4"/>
      <c r="AO74" s="4"/>
      <c r="AP74" s="4"/>
      <c r="AQ74" s="4"/>
      <c r="AR74" s="4"/>
      <c r="AS74" s="4"/>
      <c r="AT74" s="4"/>
      <c r="AU74" s="4"/>
      <c r="AV74" s="4"/>
      <c r="AW74" s="4"/>
      <c r="AX74" s="4"/>
      <c r="AY74" s="4"/>
      <c r="BA74" s="4"/>
      <c r="BC74" s="31"/>
      <c r="BD74" s="31"/>
      <c r="BE74" s="31"/>
      <c r="BF74" s="31"/>
      <c r="BG74" s="31"/>
      <c r="BH74" s="31"/>
      <c r="BI74" s="31"/>
      <c r="BJ74" s="31"/>
      <c r="BK74" s="31"/>
      <c r="BL74" s="31"/>
      <c r="BM74" s="31"/>
      <c r="BN74" s="31"/>
      <c r="BO74" s="31"/>
      <c r="BQ74" s="4"/>
    </row>
    <row r="75" spans="13:69">
      <c r="M75" s="18"/>
      <c r="T75" s="19"/>
      <c r="U75" s="19"/>
      <c r="V75" s="19"/>
      <c r="W75" s="19"/>
      <c r="X75" s="19"/>
      <c r="Y75" s="19"/>
      <c r="Z75" s="19"/>
      <c r="AA75" s="19"/>
      <c r="AC75" s="39"/>
      <c r="AD75" s="40"/>
      <c r="AI75" s="4"/>
      <c r="AJ75" s="4"/>
      <c r="AL75" s="4"/>
      <c r="AM75" s="4"/>
      <c r="AN75" s="4"/>
      <c r="AO75" s="4"/>
      <c r="AP75" s="4"/>
      <c r="AQ75" s="4"/>
      <c r="AR75" s="4"/>
      <c r="AS75" s="4"/>
      <c r="AT75" s="4"/>
      <c r="AU75" s="4"/>
      <c r="AV75" s="4"/>
      <c r="AW75" s="4"/>
      <c r="AX75" s="4"/>
      <c r="AY75" s="4"/>
      <c r="BA75" s="4"/>
      <c r="BC75" s="31"/>
      <c r="BD75" s="31"/>
      <c r="BE75" s="31"/>
      <c r="BF75" s="31"/>
      <c r="BG75" s="31"/>
      <c r="BH75" s="31"/>
      <c r="BI75" s="31"/>
      <c r="BJ75" s="31"/>
      <c r="BK75" s="31"/>
      <c r="BL75" s="31"/>
      <c r="BM75" s="31"/>
      <c r="BN75" s="31"/>
      <c r="BO75" s="31"/>
      <c r="BQ75" s="4"/>
    </row>
    <row r="76" spans="13:69">
      <c r="M76" s="18"/>
      <c r="T76" s="19"/>
      <c r="U76" s="19"/>
      <c r="V76" s="19"/>
      <c r="W76" s="19"/>
      <c r="X76" s="19"/>
      <c r="Y76" s="19"/>
      <c r="Z76" s="19"/>
      <c r="AA76" s="19"/>
      <c r="AB76" s="19"/>
      <c r="AC76" s="39"/>
      <c r="AD76" s="40"/>
      <c r="AI76" s="4"/>
      <c r="AJ76" s="4"/>
      <c r="AL76" s="4"/>
      <c r="AM76" s="4"/>
      <c r="AN76" s="4"/>
      <c r="AO76" s="4"/>
      <c r="AP76" s="4"/>
      <c r="AQ76" s="4"/>
      <c r="AR76" s="4"/>
      <c r="AS76" s="4"/>
      <c r="AT76" s="4"/>
      <c r="AU76" s="4"/>
      <c r="AV76" s="4"/>
      <c r="AW76" s="4"/>
      <c r="AX76" s="4"/>
      <c r="AY76" s="4"/>
      <c r="BA76" s="4"/>
      <c r="BC76" s="31"/>
      <c r="BD76" s="31"/>
      <c r="BE76" s="31"/>
      <c r="BF76" s="31"/>
      <c r="BG76" s="31"/>
      <c r="BH76" s="31"/>
      <c r="BI76" s="31"/>
      <c r="BJ76" s="31"/>
      <c r="BK76" s="31"/>
      <c r="BL76" s="31"/>
      <c r="BM76" s="31"/>
      <c r="BN76" s="31"/>
      <c r="BO76" s="31"/>
      <c r="BQ76" s="4"/>
    </row>
    <row r="77" spans="13:69">
      <c r="M77" s="18"/>
      <c r="T77" s="19"/>
      <c r="U77" s="19"/>
      <c r="V77" s="19"/>
      <c r="W77" s="19"/>
      <c r="X77" s="19"/>
      <c r="Y77" s="19"/>
      <c r="Z77" s="19"/>
      <c r="AA77" s="19"/>
      <c r="AB77" s="19"/>
      <c r="AC77" s="39"/>
      <c r="AD77" s="40"/>
      <c r="AI77" s="4"/>
      <c r="AJ77" s="4"/>
      <c r="AL77" s="4"/>
      <c r="AM77" s="4"/>
      <c r="AN77" s="4"/>
      <c r="AO77" s="4"/>
      <c r="AP77" s="4"/>
      <c r="AQ77" s="4"/>
      <c r="AR77" s="4"/>
      <c r="AS77" s="4"/>
      <c r="AT77" s="4"/>
      <c r="AU77" s="4"/>
      <c r="AV77" s="4"/>
      <c r="AW77" s="4"/>
      <c r="AX77" s="4"/>
      <c r="AY77" s="4"/>
      <c r="BA77" s="4"/>
      <c r="BC77" s="31"/>
      <c r="BD77" s="31"/>
      <c r="BE77" s="31"/>
      <c r="BF77" s="31"/>
      <c r="BG77" s="31"/>
      <c r="BH77" s="31"/>
      <c r="BI77" s="31"/>
      <c r="BJ77" s="31"/>
      <c r="BK77" s="31"/>
      <c r="BL77" s="31"/>
      <c r="BM77" s="31"/>
      <c r="BN77" s="31"/>
      <c r="BO77" s="31"/>
      <c r="BQ77" s="4"/>
    </row>
    <row r="78" spans="13:69">
      <c r="M78" s="18"/>
      <c r="T78" s="19"/>
      <c r="U78" s="19"/>
      <c r="V78" s="19"/>
      <c r="W78" s="19"/>
      <c r="X78" s="19"/>
      <c r="Y78" s="19"/>
      <c r="Z78" s="19"/>
      <c r="AA78" s="19"/>
      <c r="AC78" s="39"/>
      <c r="AD78" s="40"/>
      <c r="AI78" s="4"/>
      <c r="AJ78" s="4"/>
      <c r="AL78" s="4"/>
      <c r="AM78" s="4"/>
      <c r="AN78" s="4"/>
      <c r="AO78" s="4"/>
      <c r="AP78" s="4"/>
      <c r="AQ78" s="4"/>
      <c r="AR78" s="4"/>
      <c r="AS78" s="4"/>
      <c r="AT78" s="4"/>
      <c r="AU78" s="4"/>
      <c r="AV78" s="4"/>
      <c r="AW78" s="4"/>
      <c r="AX78" s="4"/>
      <c r="AY78" s="4"/>
      <c r="BA78" s="4"/>
      <c r="BC78" s="31"/>
      <c r="BD78" s="31"/>
      <c r="BE78" s="31"/>
      <c r="BF78" s="31"/>
      <c r="BG78" s="31"/>
      <c r="BH78" s="31"/>
      <c r="BI78" s="31"/>
      <c r="BJ78" s="31"/>
      <c r="BK78" s="31"/>
      <c r="BL78" s="31"/>
      <c r="BM78" s="31"/>
      <c r="BN78" s="31"/>
      <c r="BO78" s="31"/>
      <c r="BQ78" s="4"/>
    </row>
    <row r="79" spans="13:69">
      <c r="M79" s="18"/>
      <c r="T79" s="19"/>
      <c r="U79" s="19"/>
      <c r="V79" s="19"/>
      <c r="W79" s="19"/>
      <c r="X79" s="19"/>
      <c r="Y79" s="19"/>
      <c r="Z79" s="19"/>
      <c r="AA79" s="19"/>
      <c r="AC79" s="39"/>
      <c r="AD79" s="40"/>
      <c r="AI79" s="4"/>
      <c r="AJ79" s="4"/>
      <c r="AL79" s="4"/>
      <c r="AM79" s="4"/>
      <c r="AN79" s="4"/>
      <c r="AO79" s="4"/>
      <c r="AP79" s="4"/>
      <c r="AQ79" s="4"/>
      <c r="AR79" s="4"/>
      <c r="AS79" s="4"/>
      <c r="AT79" s="4"/>
      <c r="AU79" s="4"/>
      <c r="AV79" s="4"/>
      <c r="AW79" s="4"/>
      <c r="AX79" s="4"/>
      <c r="AY79" s="4"/>
      <c r="BA79" s="4"/>
      <c r="BC79" s="31"/>
      <c r="BD79" s="31"/>
      <c r="BE79" s="31"/>
      <c r="BF79" s="31"/>
      <c r="BG79" s="31"/>
      <c r="BH79" s="31"/>
      <c r="BI79" s="31"/>
      <c r="BJ79" s="31"/>
      <c r="BK79" s="31"/>
      <c r="BL79" s="31"/>
      <c r="BM79" s="31"/>
      <c r="BN79" s="31"/>
      <c r="BO79" s="31"/>
      <c r="BQ79" s="4"/>
    </row>
    <row r="80" spans="13:69">
      <c r="M80" s="18"/>
      <c r="T80" s="19"/>
      <c r="U80" s="19"/>
      <c r="V80" s="19"/>
      <c r="W80" s="19"/>
      <c r="X80" s="19"/>
      <c r="Y80" s="19"/>
      <c r="Z80" s="19"/>
      <c r="AA80" s="19"/>
      <c r="AC80" s="39"/>
      <c r="AD80" s="40"/>
      <c r="AI80" s="4"/>
      <c r="AJ80" s="4"/>
      <c r="AL80" s="4"/>
      <c r="AM80" s="4"/>
      <c r="AN80" s="4"/>
      <c r="AO80" s="4"/>
      <c r="AP80" s="4"/>
      <c r="AQ80" s="4"/>
      <c r="AR80" s="4"/>
      <c r="AS80" s="4"/>
      <c r="AT80" s="4"/>
      <c r="AU80" s="4"/>
      <c r="AV80" s="4"/>
      <c r="AW80" s="4"/>
      <c r="AX80" s="4"/>
      <c r="AY80" s="4"/>
      <c r="BA80" s="4"/>
      <c r="BC80" s="31"/>
      <c r="BD80" s="31"/>
      <c r="BE80" s="31"/>
      <c r="BF80" s="31"/>
      <c r="BG80" s="31"/>
      <c r="BH80" s="31"/>
      <c r="BI80" s="31"/>
      <c r="BJ80" s="31"/>
      <c r="BK80" s="31"/>
      <c r="BL80" s="31"/>
      <c r="BM80" s="31"/>
      <c r="BN80" s="31"/>
      <c r="BO80" s="31"/>
      <c r="BQ80" s="4"/>
    </row>
    <row r="81" spans="13:69">
      <c r="M81" s="18"/>
      <c r="T81" s="19"/>
      <c r="U81" s="19"/>
      <c r="V81" s="19"/>
      <c r="W81" s="19"/>
      <c r="X81" s="19"/>
      <c r="Y81" s="19"/>
      <c r="Z81" s="19"/>
      <c r="AA81" s="19"/>
      <c r="AB81" s="19"/>
      <c r="AC81" s="39"/>
      <c r="AD81" s="40"/>
      <c r="AI81" s="4"/>
      <c r="AJ81" s="4"/>
      <c r="AL81" s="4"/>
      <c r="AM81" s="4"/>
      <c r="AN81" s="4"/>
      <c r="AO81" s="4"/>
      <c r="AP81" s="4"/>
      <c r="AQ81" s="4"/>
      <c r="AR81" s="4"/>
      <c r="AS81" s="4"/>
      <c r="AT81" s="4"/>
      <c r="AU81" s="4"/>
      <c r="AV81" s="4"/>
      <c r="AW81" s="4"/>
      <c r="AX81" s="4"/>
      <c r="AY81" s="4"/>
      <c r="BA81" s="4"/>
      <c r="BC81" s="31"/>
      <c r="BD81" s="31"/>
      <c r="BE81" s="31"/>
      <c r="BF81" s="31"/>
      <c r="BG81" s="31"/>
      <c r="BH81" s="31"/>
      <c r="BI81" s="31"/>
      <c r="BJ81" s="31"/>
      <c r="BK81" s="31"/>
      <c r="BL81" s="31"/>
      <c r="BM81" s="31"/>
      <c r="BN81" s="31"/>
      <c r="BO81" s="31"/>
      <c r="BQ81" s="4"/>
    </row>
    <row r="82" spans="13:69">
      <c r="M82" s="18"/>
      <c r="T82" s="19"/>
      <c r="U82" s="19"/>
      <c r="V82" s="19"/>
      <c r="W82" s="19"/>
      <c r="X82" s="19"/>
      <c r="Y82" s="19"/>
      <c r="Z82" s="19"/>
      <c r="AA82" s="19"/>
      <c r="AB82" s="19"/>
      <c r="AC82" s="39"/>
      <c r="AD82" s="40"/>
      <c r="AI82" s="4"/>
      <c r="AJ82" s="4"/>
      <c r="AL82" s="4"/>
      <c r="AM82" s="4"/>
      <c r="AN82" s="4"/>
      <c r="AO82" s="4"/>
      <c r="AP82" s="4"/>
      <c r="AQ82" s="4"/>
      <c r="AR82" s="4"/>
      <c r="AS82" s="4"/>
      <c r="AT82" s="4"/>
      <c r="AU82" s="4"/>
      <c r="AV82" s="4"/>
      <c r="AW82" s="4"/>
      <c r="AX82" s="4"/>
      <c r="AY82" s="4"/>
      <c r="BA82" s="4"/>
      <c r="BC82" s="31"/>
      <c r="BD82" s="31"/>
      <c r="BE82" s="31"/>
      <c r="BF82" s="31"/>
      <c r="BG82" s="31"/>
      <c r="BH82" s="31"/>
      <c r="BI82" s="31"/>
      <c r="BJ82" s="31"/>
      <c r="BK82" s="31"/>
      <c r="BL82" s="31"/>
      <c r="BM82" s="31"/>
      <c r="BN82" s="31"/>
      <c r="BO82" s="31"/>
      <c r="BQ82" s="4"/>
    </row>
    <row r="83" spans="13:69">
      <c r="M83" s="18"/>
      <c r="T83" s="19"/>
      <c r="U83" s="19"/>
      <c r="V83" s="19"/>
      <c r="W83" s="19"/>
      <c r="X83" s="19"/>
      <c r="Y83" s="19"/>
      <c r="Z83" s="19"/>
      <c r="AA83" s="19"/>
      <c r="AC83" s="39"/>
      <c r="AD83" s="40"/>
      <c r="AI83" s="4"/>
      <c r="AJ83" s="4"/>
      <c r="AL83" s="4"/>
      <c r="AM83" s="4"/>
      <c r="AN83" s="4"/>
      <c r="AO83" s="4"/>
      <c r="AP83" s="4"/>
      <c r="AQ83" s="4"/>
      <c r="AR83" s="4"/>
      <c r="AS83" s="4"/>
      <c r="AT83" s="4"/>
      <c r="AU83" s="4"/>
      <c r="AV83" s="4"/>
      <c r="AW83" s="4"/>
      <c r="AX83" s="4"/>
      <c r="AY83" s="4"/>
      <c r="BA83" s="4"/>
      <c r="BC83" s="31"/>
      <c r="BD83" s="31"/>
      <c r="BE83" s="31"/>
      <c r="BF83" s="31"/>
      <c r="BG83" s="31"/>
      <c r="BH83" s="31"/>
      <c r="BI83" s="31"/>
      <c r="BJ83" s="31"/>
      <c r="BK83" s="31"/>
      <c r="BL83" s="31"/>
      <c r="BM83" s="31"/>
      <c r="BN83" s="31"/>
      <c r="BO83" s="31"/>
      <c r="BQ83" s="4"/>
    </row>
    <row r="84" spans="13:69">
      <c r="M84" s="18"/>
      <c r="T84" s="19"/>
      <c r="U84" s="19"/>
      <c r="V84" s="19"/>
      <c r="W84" s="19"/>
      <c r="X84" s="19"/>
      <c r="Y84" s="19"/>
      <c r="Z84" s="19"/>
      <c r="AA84" s="19"/>
      <c r="AC84" s="39"/>
      <c r="AD84" s="40"/>
      <c r="AI84" s="4"/>
      <c r="AJ84" s="4"/>
      <c r="AL84" s="4"/>
      <c r="AM84" s="4"/>
      <c r="AN84" s="4"/>
      <c r="AO84" s="4"/>
      <c r="AP84" s="4"/>
      <c r="AQ84" s="4"/>
      <c r="AR84" s="4"/>
      <c r="AS84" s="4"/>
      <c r="AT84" s="4"/>
      <c r="AU84" s="4"/>
      <c r="AV84" s="4"/>
      <c r="AW84" s="4"/>
      <c r="AX84" s="4"/>
      <c r="AY84" s="4"/>
      <c r="BA84" s="4"/>
      <c r="BC84" s="31"/>
      <c r="BD84" s="31"/>
      <c r="BE84" s="31"/>
      <c r="BF84" s="31"/>
      <c r="BG84" s="31"/>
      <c r="BH84" s="31"/>
      <c r="BI84" s="31"/>
      <c r="BJ84" s="31"/>
      <c r="BK84" s="31"/>
      <c r="BL84" s="31"/>
      <c r="BM84" s="31"/>
      <c r="BN84" s="31"/>
      <c r="BO84" s="31"/>
      <c r="BQ84" s="4"/>
    </row>
    <row r="85" spans="13:69">
      <c r="M85" s="18"/>
      <c r="T85" s="19"/>
      <c r="U85" s="19"/>
      <c r="V85" s="19"/>
      <c r="W85" s="19"/>
      <c r="X85" s="19"/>
      <c r="Y85" s="19"/>
      <c r="Z85" s="19"/>
      <c r="AA85" s="19"/>
      <c r="AC85" s="39"/>
      <c r="AD85" s="40"/>
      <c r="AI85" s="4"/>
      <c r="AJ85" s="4"/>
      <c r="AL85" s="4"/>
      <c r="AM85" s="4"/>
      <c r="AN85" s="4"/>
      <c r="AO85" s="4"/>
      <c r="AP85" s="4"/>
      <c r="AQ85" s="4"/>
      <c r="AR85" s="4"/>
      <c r="AS85" s="4"/>
      <c r="AT85" s="4"/>
      <c r="AU85" s="4"/>
      <c r="AV85" s="4"/>
      <c r="AW85" s="4"/>
      <c r="AX85" s="4"/>
      <c r="AY85" s="4"/>
      <c r="BA85" s="4"/>
      <c r="BC85" s="31"/>
      <c r="BD85" s="31"/>
      <c r="BE85" s="31"/>
      <c r="BF85" s="31"/>
      <c r="BG85" s="31"/>
      <c r="BH85" s="31"/>
      <c r="BI85" s="31"/>
      <c r="BJ85" s="31"/>
      <c r="BK85" s="31"/>
      <c r="BL85" s="31"/>
      <c r="BM85" s="31"/>
      <c r="BN85" s="31"/>
      <c r="BO85" s="31"/>
      <c r="BQ85" s="4"/>
    </row>
    <row r="86" spans="13:69">
      <c r="M86" s="18"/>
      <c r="T86" s="19"/>
      <c r="U86" s="19"/>
      <c r="V86" s="19"/>
      <c r="W86" s="19"/>
      <c r="X86" s="19"/>
      <c r="Y86" s="19"/>
      <c r="Z86" s="19"/>
      <c r="AA86" s="19"/>
      <c r="AB86" s="19"/>
      <c r="AC86" s="39"/>
      <c r="AD86" s="40"/>
      <c r="AI86" s="4"/>
      <c r="AJ86" s="4"/>
      <c r="AL86" s="4"/>
      <c r="AM86" s="4"/>
      <c r="AN86" s="4"/>
      <c r="AO86" s="4"/>
      <c r="AP86" s="4"/>
      <c r="AQ86" s="4"/>
      <c r="AR86" s="4"/>
      <c r="AS86" s="4"/>
      <c r="AT86" s="4"/>
      <c r="AU86" s="4"/>
      <c r="AV86" s="4"/>
      <c r="AW86" s="4"/>
      <c r="AX86" s="4"/>
      <c r="AY86" s="4"/>
      <c r="BA86" s="4"/>
      <c r="BC86" s="31"/>
      <c r="BD86" s="31"/>
      <c r="BE86" s="31"/>
      <c r="BF86" s="31"/>
      <c r="BG86" s="31"/>
      <c r="BH86" s="31"/>
      <c r="BI86" s="31"/>
      <c r="BJ86" s="31"/>
      <c r="BK86" s="31"/>
      <c r="BL86" s="31"/>
      <c r="BM86" s="31"/>
      <c r="BN86" s="31"/>
      <c r="BO86" s="31"/>
      <c r="BQ86" s="4"/>
    </row>
    <row r="87" spans="13:69">
      <c r="M87" s="18"/>
      <c r="T87" s="19"/>
      <c r="U87" s="19"/>
      <c r="V87" s="19"/>
      <c r="W87" s="19"/>
      <c r="X87" s="19"/>
      <c r="Y87" s="19"/>
      <c r="Z87" s="19"/>
      <c r="AA87" s="19"/>
      <c r="AC87" s="39"/>
      <c r="AD87" s="40"/>
      <c r="AI87" s="4"/>
      <c r="AJ87" s="4"/>
      <c r="AL87" s="4"/>
      <c r="AM87" s="4"/>
      <c r="AN87" s="4"/>
      <c r="AO87" s="4"/>
      <c r="AP87" s="4"/>
      <c r="AQ87" s="4"/>
      <c r="AR87" s="4"/>
      <c r="AS87" s="4"/>
      <c r="AT87" s="4"/>
      <c r="AU87" s="4"/>
      <c r="AV87" s="4"/>
      <c r="AW87" s="4"/>
      <c r="AX87" s="4"/>
      <c r="AY87" s="4"/>
      <c r="BA87" s="4"/>
      <c r="BC87" s="31"/>
      <c r="BD87" s="31"/>
      <c r="BE87" s="31"/>
      <c r="BF87" s="31"/>
      <c r="BG87" s="31"/>
      <c r="BH87" s="31"/>
      <c r="BI87" s="31"/>
      <c r="BJ87" s="31"/>
      <c r="BK87" s="31"/>
      <c r="BL87" s="31"/>
      <c r="BM87" s="31"/>
      <c r="BN87" s="31"/>
      <c r="BO87" s="31"/>
      <c r="BQ87" s="4"/>
    </row>
    <row r="88" spans="13:69">
      <c r="M88" s="18"/>
      <c r="T88" s="19"/>
      <c r="U88" s="19"/>
      <c r="V88" s="19"/>
      <c r="W88" s="19"/>
      <c r="X88" s="19"/>
      <c r="Y88" s="19"/>
      <c r="Z88" s="19"/>
      <c r="AA88" s="19"/>
      <c r="AC88" s="39"/>
      <c r="AD88" s="40"/>
      <c r="AI88" s="4"/>
      <c r="AJ88" s="4"/>
      <c r="AL88" s="4"/>
      <c r="AM88" s="4"/>
      <c r="AN88" s="4"/>
      <c r="AO88" s="4"/>
      <c r="AP88" s="4"/>
      <c r="AQ88" s="4"/>
      <c r="AR88" s="4"/>
      <c r="AS88" s="4"/>
      <c r="AT88" s="4"/>
      <c r="AU88" s="4"/>
      <c r="AV88" s="4"/>
      <c r="AW88" s="4"/>
      <c r="AX88" s="4"/>
      <c r="AY88" s="4"/>
      <c r="BA88" s="4"/>
      <c r="BC88" s="31"/>
      <c r="BD88" s="31"/>
      <c r="BE88" s="31"/>
      <c r="BF88" s="31"/>
      <c r="BG88" s="31"/>
      <c r="BH88" s="31"/>
      <c r="BI88" s="31"/>
      <c r="BJ88" s="31"/>
      <c r="BK88" s="31"/>
      <c r="BL88" s="31"/>
      <c r="BM88" s="31"/>
      <c r="BN88" s="31"/>
      <c r="BO88" s="31"/>
      <c r="BQ88" s="4"/>
    </row>
    <row r="89" spans="13:69">
      <c r="M89" s="18"/>
      <c r="T89" s="19"/>
      <c r="U89" s="19"/>
      <c r="V89" s="19"/>
      <c r="W89" s="19"/>
      <c r="X89" s="19"/>
      <c r="Y89" s="19"/>
      <c r="Z89" s="19"/>
      <c r="AA89" s="19"/>
      <c r="AB89" s="19"/>
      <c r="AC89" s="39"/>
      <c r="AD89" s="40"/>
      <c r="AI89" s="4"/>
      <c r="AJ89" s="4"/>
      <c r="AL89" s="4"/>
      <c r="AM89" s="4"/>
      <c r="AN89" s="4"/>
      <c r="AO89" s="4"/>
      <c r="AP89" s="4"/>
      <c r="AQ89" s="4"/>
      <c r="AR89" s="4"/>
      <c r="AS89" s="4"/>
      <c r="AT89" s="4"/>
      <c r="AU89" s="4"/>
      <c r="AV89" s="4"/>
      <c r="AW89" s="4"/>
      <c r="AX89" s="4"/>
      <c r="AY89" s="4"/>
      <c r="BA89" s="4"/>
      <c r="BC89" s="31"/>
      <c r="BD89" s="31"/>
      <c r="BE89" s="31"/>
      <c r="BF89" s="31"/>
      <c r="BG89" s="31"/>
      <c r="BH89" s="31"/>
      <c r="BI89" s="31"/>
      <c r="BJ89" s="31"/>
      <c r="BK89" s="31"/>
      <c r="BL89" s="31"/>
      <c r="BM89" s="31"/>
      <c r="BN89" s="31"/>
      <c r="BO89" s="31"/>
      <c r="BQ89" s="4"/>
    </row>
    <row r="90" spans="13:69">
      <c r="M90" s="18"/>
      <c r="T90" s="19"/>
      <c r="U90" s="19"/>
      <c r="V90" s="19"/>
      <c r="W90" s="19"/>
      <c r="X90" s="19"/>
      <c r="Y90" s="19"/>
      <c r="Z90" s="19"/>
      <c r="AA90" s="19"/>
      <c r="AB90" s="19"/>
      <c r="AC90" s="39"/>
      <c r="AD90" s="40"/>
      <c r="AI90" s="4"/>
      <c r="AJ90" s="4"/>
      <c r="AL90" s="4"/>
      <c r="AM90" s="4"/>
      <c r="AN90" s="4"/>
      <c r="AO90" s="4"/>
      <c r="AP90" s="4"/>
      <c r="AQ90" s="4"/>
      <c r="AR90" s="4"/>
      <c r="AS90" s="4"/>
      <c r="AT90" s="4"/>
      <c r="AU90" s="4"/>
      <c r="AV90" s="4"/>
      <c r="AW90" s="4"/>
      <c r="AX90" s="4"/>
      <c r="AY90" s="4"/>
      <c r="BA90" s="4"/>
      <c r="BC90" s="31"/>
      <c r="BD90" s="31"/>
      <c r="BE90" s="31"/>
      <c r="BF90" s="31"/>
      <c r="BG90" s="31"/>
      <c r="BH90" s="31"/>
      <c r="BI90" s="31"/>
      <c r="BJ90" s="31"/>
      <c r="BK90" s="31"/>
      <c r="BL90" s="31"/>
      <c r="BM90" s="31"/>
      <c r="BN90" s="31"/>
      <c r="BO90" s="31"/>
      <c r="BQ90" s="4"/>
    </row>
    <row r="91" spans="13:69">
      <c r="M91" s="18"/>
      <c r="T91" s="19"/>
      <c r="U91" s="19"/>
      <c r="V91" s="19"/>
      <c r="W91" s="19"/>
      <c r="X91" s="19"/>
      <c r="Y91" s="19"/>
      <c r="Z91" s="19"/>
      <c r="AA91" s="19"/>
      <c r="AC91" s="39"/>
      <c r="AD91" s="40"/>
      <c r="AI91" s="4"/>
      <c r="AJ91" s="4"/>
      <c r="AL91" s="4"/>
      <c r="AM91" s="4"/>
      <c r="AN91" s="4"/>
      <c r="AO91" s="4"/>
      <c r="AP91" s="4"/>
      <c r="AQ91" s="4"/>
      <c r="AR91" s="4"/>
      <c r="AS91" s="4"/>
      <c r="AT91" s="4"/>
      <c r="AU91" s="4"/>
      <c r="AV91" s="4"/>
      <c r="AW91" s="4"/>
      <c r="AX91" s="4"/>
      <c r="AY91" s="4"/>
      <c r="BA91" s="4"/>
      <c r="BC91" s="31"/>
      <c r="BD91" s="31"/>
      <c r="BE91" s="31"/>
      <c r="BF91" s="31"/>
      <c r="BG91" s="31"/>
      <c r="BH91" s="31"/>
      <c r="BI91" s="31"/>
      <c r="BJ91" s="31"/>
      <c r="BK91" s="31"/>
      <c r="BL91" s="31"/>
      <c r="BM91" s="31"/>
      <c r="BN91" s="31"/>
      <c r="BO91" s="31"/>
      <c r="BQ91" s="4"/>
    </row>
    <row r="92" spans="13:69">
      <c r="M92" s="18"/>
      <c r="T92" s="19"/>
      <c r="U92" s="19"/>
      <c r="V92" s="19"/>
      <c r="W92" s="19"/>
      <c r="X92" s="19"/>
      <c r="Y92" s="19"/>
      <c r="Z92" s="19"/>
      <c r="AA92" s="19"/>
      <c r="AC92" s="39"/>
      <c r="AD92" s="40"/>
      <c r="AI92" s="4"/>
      <c r="AJ92" s="4"/>
      <c r="AL92" s="4"/>
      <c r="AM92" s="4"/>
      <c r="AN92" s="4"/>
      <c r="AO92" s="4"/>
      <c r="AP92" s="4"/>
      <c r="AQ92" s="4"/>
      <c r="AR92" s="4"/>
      <c r="AS92" s="4"/>
      <c r="AT92" s="4"/>
      <c r="AU92" s="4"/>
      <c r="AV92" s="4"/>
      <c r="AW92" s="4"/>
      <c r="AX92" s="4"/>
      <c r="AY92" s="4"/>
      <c r="BA92" s="4"/>
      <c r="BC92" s="31"/>
      <c r="BD92" s="31"/>
      <c r="BE92" s="31"/>
      <c r="BF92" s="31"/>
      <c r="BG92" s="31"/>
      <c r="BH92" s="31"/>
      <c r="BI92" s="31"/>
      <c r="BJ92" s="31"/>
      <c r="BK92" s="31"/>
      <c r="BL92" s="31"/>
      <c r="BM92" s="31"/>
      <c r="BN92" s="31"/>
      <c r="BO92" s="31"/>
      <c r="BQ92" s="4"/>
    </row>
    <row r="93" spans="13:69">
      <c r="M93" s="18"/>
      <c r="T93" s="19"/>
      <c r="U93" s="19"/>
      <c r="V93" s="19"/>
      <c r="W93" s="19"/>
      <c r="X93" s="19"/>
      <c r="Y93" s="19"/>
      <c r="Z93" s="19"/>
      <c r="AA93" s="19"/>
      <c r="AC93" s="39"/>
      <c r="AD93" s="40"/>
      <c r="AI93" s="4"/>
      <c r="AJ93" s="4"/>
      <c r="AL93" s="4"/>
      <c r="AM93" s="4"/>
      <c r="AN93" s="4"/>
      <c r="AO93" s="4"/>
      <c r="AP93" s="4"/>
      <c r="AQ93" s="4"/>
      <c r="AR93" s="4"/>
      <c r="AS93" s="4"/>
      <c r="AT93" s="4"/>
      <c r="AU93" s="4"/>
      <c r="AV93" s="4"/>
      <c r="AW93" s="4"/>
      <c r="AX93" s="4"/>
      <c r="AY93" s="4"/>
      <c r="BA93" s="4"/>
      <c r="BC93" s="31"/>
      <c r="BD93" s="31"/>
      <c r="BE93" s="31"/>
      <c r="BF93" s="31"/>
      <c r="BG93" s="31"/>
      <c r="BH93" s="31"/>
      <c r="BI93" s="31"/>
      <c r="BJ93" s="31"/>
      <c r="BK93" s="31"/>
      <c r="BL93" s="31"/>
      <c r="BM93" s="31"/>
      <c r="BN93" s="31"/>
      <c r="BO93" s="31"/>
      <c r="BQ93" s="4"/>
    </row>
    <row r="94" spans="13:69">
      <c r="M94" s="18"/>
      <c r="T94" s="19"/>
      <c r="U94" s="19"/>
      <c r="V94" s="19"/>
      <c r="W94" s="19"/>
      <c r="X94" s="19"/>
      <c r="Y94" s="19"/>
      <c r="Z94" s="19"/>
      <c r="AA94" s="19"/>
      <c r="AC94" s="39"/>
      <c r="AD94" s="40"/>
      <c r="AI94" s="4"/>
      <c r="AJ94" s="4"/>
      <c r="AL94" s="4"/>
      <c r="AM94" s="4"/>
      <c r="AN94" s="4"/>
      <c r="AO94" s="4"/>
      <c r="AP94" s="4"/>
      <c r="AQ94" s="4"/>
      <c r="AR94" s="4"/>
      <c r="AS94" s="4"/>
      <c r="AT94" s="4"/>
      <c r="AU94" s="4"/>
      <c r="AV94" s="4"/>
      <c r="AW94" s="4"/>
      <c r="AX94" s="4"/>
      <c r="AY94" s="4"/>
      <c r="BA94" s="4"/>
      <c r="BC94" s="31"/>
      <c r="BD94" s="31"/>
      <c r="BE94" s="31"/>
      <c r="BF94" s="31"/>
      <c r="BG94" s="31"/>
      <c r="BH94" s="31"/>
      <c r="BI94" s="31"/>
      <c r="BJ94" s="31"/>
      <c r="BK94" s="31"/>
      <c r="BL94" s="31"/>
      <c r="BM94" s="31"/>
      <c r="BN94" s="31"/>
      <c r="BO94" s="31"/>
      <c r="BQ94" s="4"/>
    </row>
    <row r="95" spans="13:69">
      <c r="M95" s="18"/>
      <c r="T95" s="19"/>
      <c r="U95" s="19"/>
      <c r="V95" s="19"/>
      <c r="W95" s="19"/>
      <c r="X95" s="19"/>
      <c r="Y95" s="19"/>
      <c r="Z95" s="19"/>
      <c r="AA95" s="19"/>
      <c r="AB95" s="19"/>
      <c r="AC95" s="39"/>
      <c r="AD95" s="40"/>
      <c r="AI95" s="4"/>
      <c r="AJ95" s="4"/>
      <c r="AL95" s="4"/>
      <c r="AM95" s="4"/>
      <c r="AN95" s="4"/>
      <c r="AO95" s="4"/>
      <c r="AP95" s="4"/>
      <c r="AQ95" s="4"/>
      <c r="AR95" s="4"/>
      <c r="AS95" s="4"/>
      <c r="AT95" s="4"/>
      <c r="AU95" s="4"/>
      <c r="AV95" s="4"/>
      <c r="AW95" s="4"/>
      <c r="AX95" s="4"/>
      <c r="AY95" s="4"/>
      <c r="BA95" s="4"/>
      <c r="BC95" s="31"/>
      <c r="BD95" s="31"/>
      <c r="BE95" s="31"/>
      <c r="BF95" s="31"/>
      <c r="BG95" s="31"/>
      <c r="BH95" s="31"/>
      <c r="BI95" s="31"/>
      <c r="BJ95" s="31"/>
      <c r="BK95" s="31"/>
      <c r="BL95" s="31"/>
      <c r="BM95" s="31"/>
      <c r="BN95" s="31"/>
      <c r="BO95" s="31"/>
      <c r="BQ95" s="4"/>
    </row>
    <row r="96" spans="13:69">
      <c r="M96" s="18"/>
      <c r="T96" s="19"/>
      <c r="U96" s="19"/>
      <c r="V96" s="19"/>
      <c r="W96" s="19"/>
      <c r="X96" s="19"/>
      <c r="Y96" s="19"/>
      <c r="Z96" s="19"/>
      <c r="AA96" s="19"/>
      <c r="AC96" s="39"/>
      <c r="AD96" s="40"/>
      <c r="AI96" s="4"/>
      <c r="AJ96" s="4"/>
      <c r="AL96" s="4"/>
      <c r="AM96" s="4"/>
      <c r="AN96" s="4"/>
      <c r="AO96" s="4"/>
      <c r="AP96" s="4"/>
      <c r="AQ96" s="4"/>
      <c r="AR96" s="4"/>
      <c r="AS96" s="4"/>
      <c r="AT96" s="4"/>
      <c r="AU96" s="4"/>
      <c r="AV96" s="4"/>
      <c r="AW96" s="4"/>
      <c r="AX96" s="4"/>
      <c r="AY96" s="4"/>
      <c r="BA96" s="4"/>
      <c r="BC96" s="31"/>
      <c r="BD96" s="31"/>
      <c r="BE96" s="31"/>
      <c r="BF96" s="31"/>
      <c r="BG96" s="31"/>
      <c r="BH96" s="31"/>
      <c r="BI96" s="31"/>
      <c r="BJ96" s="31"/>
      <c r="BK96" s="31"/>
      <c r="BL96" s="31"/>
      <c r="BM96" s="31"/>
      <c r="BN96" s="31"/>
      <c r="BO96" s="31"/>
      <c r="BQ96" s="4"/>
    </row>
    <row r="97" spans="13:69">
      <c r="M97" s="18"/>
      <c r="T97" s="19"/>
      <c r="U97" s="19"/>
      <c r="V97" s="19"/>
      <c r="W97" s="19"/>
      <c r="X97" s="19"/>
      <c r="Y97" s="19"/>
      <c r="Z97" s="19"/>
      <c r="AA97" s="19"/>
      <c r="AC97" s="39"/>
      <c r="AD97" s="40"/>
      <c r="AI97" s="4"/>
      <c r="AJ97" s="4"/>
      <c r="AL97" s="4"/>
      <c r="AM97" s="4"/>
      <c r="AN97" s="4"/>
      <c r="AO97" s="4"/>
      <c r="AP97" s="4"/>
      <c r="AQ97" s="4"/>
      <c r="AR97" s="4"/>
      <c r="AS97" s="4"/>
      <c r="AT97" s="4"/>
      <c r="AU97" s="4"/>
      <c r="AV97" s="4"/>
      <c r="AW97" s="4"/>
      <c r="AX97" s="4"/>
      <c r="AY97" s="4"/>
      <c r="BA97" s="4"/>
      <c r="BC97" s="31"/>
      <c r="BD97" s="31"/>
      <c r="BE97" s="31"/>
      <c r="BF97" s="31"/>
      <c r="BG97" s="31"/>
      <c r="BH97" s="31"/>
      <c r="BI97" s="31"/>
      <c r="BJ97" s="31"/>
      <c r="BK97" s="31"/>
      <c r="BL97" s="31"/>
      <c r="BM97" s="31"/>
      <c r="BN97" s="31"/>
      <c r="BO97" s="31"/>
      <c r="BQ97" s="4"/>
    </row>
    <row r="98" spans="13:69">
      <c r="M98" s="18"/>
      <c r="T98" s="19"/>
      <c r="U98" s="19"/>
      <c r="V98" s="19"/>
      <c r="W98" s="19"/>
      <c r="X98" s="19"/>
      <c r="Y98" s="19"/>
      <c r="Z98" s="19"/>
      <c r="AA98" s="19"/>
      <c r="AB98" s="19"/>
      <c r="AC98" s="39"/>
      <c r="AD98" s="40"/>
      <c r="AI98" s="4"/>
      <c r="AJ98" s="4"/>
      <c r="AL98" s="4"/>
      <c r="AM98" s="4"/>
      <c r="AN98" s="4"/>
      <c r="AO98" s="4"/>
      <c r="AP98" s="4"/>
      <c r="AQ98" s="4"/>
      <c r="AR98" s="4"/>
      <c r="AS98" s="4"/>
      <c r="AT98" s="4"/>
      <c r="AU98" s="4"/>
      <c r="AV98" s="4"/>
      <c r="AW98" s="4"/>
      <c r="AX98" s="4"/>
      <c r="AY98" s="4"/>
      <c r="BA98" s="4"/>
      <c r="BC98" s="31"/>
      <c r="BD98" s="31"/>
      <c r="BE98" s="31"/>
      <c r="BF98" s="31"/>
      <c r="BG98" s="31"/>
      <c r="BH98" s="31"/>
      <c r="BI98" s="31"/>
      <c r="BJ98" s="31"/>
      <c r="BK98" s="31"/>
      <c r="BL98" s="31"/>
      <c r="BM98" s="31"/>
      <c r="BN98" s="31"/>
      <c r="BO98" s="31"/>
      <c r="BQ98" s="4"/>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7"/>
  <sheetViews>
    <sheetView showGridLines="0" tabSelected="1" zoomScale="80" zoomScaleNormal="80" workbookViewId="0">
      <selection sqref="A1:O1"/>
    </sheetView>
  </sheetViews>
  <sheetFormatPr baseColWidth="10" defaultColWidth="10.85546875" defaultRowHeight="14.25"/>
  <cols>
    <col min="1" max="1" width="11.140625" style="2" customWidth="1"/>
    <col min="2" max="2" width="6.42578125" style="2" customWidth="1"/>
    <col min="3" max="3" width="19.140625" style="2" bestFit="1" customWidth="1"/>
    <col min="4" max="4" width="13.42578125" style="2" customWidth="1"/>
    <col min="5" max="5" width="12.85546875" style="2" customWidth="1"/>
    <col min="6" max="8" width="16.85546875" style="3" customWidth="1"/>
    <col min="9" max="9" width="12.140625" style="2" customWidth="1"/>
    <col min="10" max="10" width="13.85546875" style="2" bestFit="1" customWidth="1"/>
    <col min="11" max="11" width="10.85546875" style="2" customWidth="1"/>
    <col min="12" max="12" width="10.85546875" style="2" bestFit="1" customWidth="1"/>
    <col min="13" max="13" width="14" style="2" bestFit="1" customWidth="1"/>
    <col min="14" max="14" width="7.5703125" style="2" customWidth="1"/>
    <col min="15" max="16384" width="10.85546875" style="2"/>
  </cols>
  <sheetData>
    <row r="1" spans="1:15" ht="67.5" customHeight="1">
      <c r="A1" s="47" t="s">
        <v>63</v>
      </c>
      <c r="B1" s="47"/>
      <c r="C1" s="47"/>
      <c r="D1" s="47"/>
      <c r="E1" s="47"/>
      <c r="F1" s="47"/>
      <c r="G1" s="47"/>
      <c r="H1" s="47"/>
      <c r="I1" s="47"/>
      <c r="J1" s="47"/>
      <c r="K1" s="47"/>
      <c r="L1" s="47"/>
      <c r="M1" s="47"/>
      <c r="N1" s="47"/>
      <c r="O1" s="47"/>
    </row>
    <row r="6" spans="1:15" ht="29.45" customHeight="1"/>
    <row r="13" spans="1:15" ht="24" customHeight="1">
      <c r="E13" s="46" t="s">
        <v>72</v>
      </c>
      <c r="F13" s="46"/>
      <c r="G13" s="46"/>
      <c r="H13" s="43" t="e">
        <f>+GETPIVOTDATA("Facturado",$E$15)/GETPIVOTDATA("Ordenado",$E$15)</f>
        <v>#DIV/0!</v>
      </c>
      <c r="I13" s="7"/>
      <c r="J13"/>
      <c r="K13"/>
      <c r="L13"/>
    </row>
    <row r="14" spans="1:15" ht="15">
      <c r="J14"/>
      <c r="K14"/>
      <c r="L14"/>
    </row>
    <row r="15" spans="1:15" ht="15">
      <c r="F15" s="42" t="s">
        <v>11</v>
      </c>
      <c r="J15"/>
      <c r="K15"/>
      <c r="L15"/>
    </row>
    <row r="16" spans="1:15" ht="15">
      <c r="F16" s="3" t="s">
        <v>62</v>
      </c>
      <c r="G16" s="3" t="s">
        <v>87</v>
      </c>
      <c r="H16" s="3" t="s">
        <v>88</v>
      </c>
      <c r="J16"/>
      <c r="K16"/>
      <c r="L16"/>
    </row>
    <row r="17" spans="5:12" ht="15">
      <c r="E17" s="2" t="s">
        <v>61</v>
      </c>
      <c r="I17" s="3"/>
      <c r="J17"/>
      <c r="K17"/>
      <c r="L17"/>
    </row>
    <row r="18" spans="5:12" ht="15">
      <c r="E18"/>
      <c r="F18" s="1"/>
      <c r="G18" s="1"/>
      <c r="J18"/>
      <c r="K18"/>
      <c r="L18"/>
    </row>
    <row r="19" spans="5:12" ht="15">
      <c r="E19"/>
      <c r="F19" s="1"/>
      <c r="G19" s="1"/>
      <c r="J19"/>
      <c r="K19"/>
      <c r="L19"/>
    </row>
    <row r="20" spans="5:12" ht="15">
      <c r="E20"/>
      <c r="F20" s="1"/>
      <c r="G20" s="1"/>
      <c r="J20"/>
      <c r="K20"/>
      <c r="L20"/>
    </row>
    <row r="21" spans="5:12" ht="15">
      <c r="E21"/>
      <c r="F21" s="1"/>
      <c r="G21" s="1"/>
      <c r="J21"/>
      <c r="K21"/>
      <c r="L21"/>
    </row>
    <row r="22" spans="5:12" ht="15">
      <c r="E22"/>
      <c r="F22" s="1"/>
      <c r="G22" s="1"/>
    </row>
    <row r="23" spans="5:12" ht="15">
      <c r="E23"/>
      <c r="F23" s="1"/>
    </row>
    <row r="24" spans="5:12" ht="15">
      <c r="E24"/>
      <c r="F24" s="1"/>
    </row>
    <row r="25" spans="5:12" ht="15">
      <c r="E25"/>
      <c r="F25" s="1"/>
    </row>
    <row r="26" spans="5:12" ht="15">
      <c r="E26"/>
      <c r="F26" s="1"/>
    </row>
    <row r="27" spans="5:12" ht="15">
      <c r="E27"/>
      <c r="F27" s="1"/>
    </row>
    <row r="28" spans="5:12" ht="15">
      <c r="E28"/>
      <c r="F28" s="1"/>
    </row>
    <row r="29" spans="5:12" ht="15">
      <c r="E29"/>
      <c r="F29" s="1"/>
    </row>
    <row r="30" spans="5:12" ht="15">
      <c r="E30"/>
      <c r="F30" s="1"/>
    </row>
    <row r="31" spans="5:12" ht="15">
      <c r="E31"/>
      <c r="F31" s="1"/>
    </row>
    <row r="32" spans="5:12" ht="15">
      <c r="E32"/>
      <c r="F32" s="1"/>
    </row>
    <row r="33" spans="5:6" ht="15">
      <c r="E33"/>
      <c r="F33" s="1"/>
    </row>
    <row r="34" spans="5:6" ht="15">
      <c r="E34"/>
      <c r="F34" s="1"/>
    </row>
    <row r="35" spans="5:6" ht="15">
      <c r="E35"/>
      <c r="F35" s="1"/>
    </row>
    <row r="36" spans="5:6" ht="15">
      <c r="E36"/>
      <c r="F36" s="1"/>
    </row>
    <row r="37" spans="5:6" ht="15">
      <c r="E37"/>
      <c r="F37" s="1"/>
    </row>
    <row r="38" spans="5:6" ht="15">
      <c r="E38"/>
      <c r="F38" s="1"/>
    </row>
    <row r="39" spans="5:6" ht="15">
      <c r="E39"/>
      <c r="F39" s="1"/>
    </row>
    <row r="40" spans="5:6" ht="15">
      <c r="E40"/>
      <c r="F40" s="1"/>
    </row>
    <row r="41" spans="5:6" ht="15">
      <c r="E41"/>
      <c r="F41" s="1"/>
    </row>
    <row r="42" spans="5:6" ht="15">
      <c r="E42"/>
      <c r="F42" s="1"/>
    </row>
    <row r="43" spans="5:6" ht="15">
      <c r="E43"/>
      <c r="F43" s="1"/>
    </row>
    <row r="44" spans="5:6" ht="15">
      <c r="E44"/>
      <c r="F44" s="1"/>
    </row>
    <row r="45" spans="5:6" ht="15">
      <c r="E45"/>
      <c r="F45" s="1"/>
    </row>
    <row r="46" spans="5:6" ht="15">
      <c r="E46"/>
      <c r="F46" s="1"/>
    </row>
    <row r="47" spans="5:6" ht="15">
      <c r="E47"/>
      <c r="F47" s="1"/>
    </row>
  </sheetData>
  <mergeCells count="2">
    <mergeCell ref="E13:G13"/>
    <mergeCell ref="A1:O1"/>
  </mergeCells>
  <pageMargins left="0.7" right="0.7" top="0.75" bottom="0.75" header="0.3" footer="0.3"/>
  <pageSetup orientation="portrait" r:id="rId2"/>
  <customProperties>
    <customPr name="_pios_id" r:id="rId3"/>
  </customProperties>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95"/>
  <sheetViews>
    <sheetView showGridLines="0" zoomScale="80" zoomScaleNormal="80" workbookViewId="0">
      <selection activeCell="G10" sqref="G10"/>
    </sheetView>
  </sheetViews>
  <sheetFormatPr baseColWidth="10" defaultColWidth="10.85546875" defaultRowHeight="12.75"/>
  <cols>
    <col min="1" max="1" width="6.5703125" style="5" customWidth="1"/>
    <col min="2" max="2" width="21.28515625" style="5" customWidth="1"/>
    <col min="3" max="3" width="21.5703125" style="6" customWidth="1"/>
    <col min="4" max="4" width="21.5703125" style="14" customWidth="1"/>
    <col min="5" max="5" width="23.5703125" style="14" customWidth="1"/>
    <col min="6" max="6" width="44.28515625" style="14" bestFit="1" customWidth="1"/>
    <col min="7" max="7" width="15.5703125" style="5" customWidth="1"/>
    <col min="8" max="8" width="50.5703125" style="5" customWidth="1"/>
    <col min="9" max="9" width="12.5703125" style="5" customWidth="1"/>
    <col min="10" max="10" width="10" style="5" customWidth="1"/>
    <col min="11" max="16384" width="10.85546875" style="5"/>
  </cols>
  <sheetData>
    <row r="1" spans="1:14" ht="26.25">
      <c r="A1" s="48" t="s">
        <v>68</v>
      </c>
      <c r="B1" s="48"/>
      <c r="C1" s="48"/>
      <c r="D1" s="48"/>
      <c r="E1" s="48"/>
      <c r="F1" s="48"/>
      <c r="G1" s="48"/>
      <c r="H1" s="48"/>
      <c r="I1" s="32"/>
      <c r="J1" s="32"/>
    </row>
    <row r="3" spans="1:14">
      <c r="B3" s="12" t="s">
        <v>40</v>
      </c>
      <c r="C3" s="13" t="s">
        <v>91</v>
      </c>
    </row>
    <row r="5" spans="1:14" ht="15">
      <c r="B5" s="36" t="s">
        <v>86</v>
      </c>
      <c r="C5" s="37"/>
      <c r="D5" s="37"/>
      <c r="E5" s="37"/>
      <c r="F5" s="37"/>
      <c r="G5" s="13"/>
      <c r="H5"/>
      <c r="I5"/>
      <c r="J5"/>
      <c r="K5"/>
      <c r="L5"/>
      <c r="M5"/>
      <c r="N5"/>
    </row>
    <row r="6" spans="1:14" s="6" customFormat="1" ht="15">
      <c r="B6" s="16" t="s">
        <v>92</v>
      </c>
      <c r="C6" s="16" t="s">
        <v>12</v>
      </c>
      <c r="D6" s="16" t="s">
        <v>14</v>
      </c>
      <c r="E6" s="45" t="s">
        <v>93</v>
      </c>
      <c r="F6" s="16" t="s">
        <v>26</v>
      </c>
      <c r="G6" s="13" t="s">
        <v>61</v>
      </c>
      <c r="H6"/>
      <c r="I6"/>
      <c r="J6"/>
      <c r="K6"/>
      <c r="L6"/>
      <c r="M6"/>
      <c r="N6"/>
    </row>
    <row r="7" spans="1:14" ht="15">
      <c r="B7" s="13" t="s">
        <v>90</v>
      </c>
      <c r="C7" s="13"/>
      <c r="D7" s="13"/>
      <c r="E7" s="13"/>
      <c r="F7" s="13"/>
      <c r="G7" s="17"/>
      <c r="H7"/>
      <c r="I7"/>
      <c r="J7"/>
      <c r="K7"/>
      <c r="L7"/>
      <c r="M7"/>
      <c r="N7"/>
    </row>
    <row r="8" spans="1:14" ht="15">
      <c r="B8"/>
      <c r="C8"/>
      <c r="D8"/>
      <c r="E8"/>
      <c r="F8"/>
      <c r="G8"/>
      <c r="H8"/>
      <c r="I8"/>
      <c r="J8"/>
      <c r="K8"/>
      <c r="L8"/>
      <c r="M8"/>
      <c r="N8"/>
    </row>
    <row r="9" spans="1:14" ht="15">
      <c r="B9"/>
      <c r="C9"/>
      <c r="D9"/>
      <c r="E9"/>
      <c r="F9"/>
      <c r="G9"/>
      <c r="H9"/>
      <c r="I9"/>
      <c r="J9"/>
      <c r="K9"/>
      <c r="L9"/>
      <c r="M9"/>
      <c r="N9"/>
    </row>
    <row r="10" spans="1:14" ht="15">
      <c r="B10"/>
      <c r="C10"/>
      <c r="D10"/>
      <c r="E10"/>
      <c r="F10"/>
      <c r="G10"/>
      <c r="H10"/>
      <c r="I10"/>
      <c r="J10"/>
      <c r="K10"/>
      <c r="L10"/>
      <c r="M10"/>
      <c r="N10"/>
    </row>
    <row r="11" spans="1:14" ht="15">
      <c r="B11"/>
      <c r="C11"/>
      <c r="D11"/>
      <c r="E11"/>
      <c r="F11"/>
      <c r="G11"/>
      <c r="H11"/>
      <c r="I11"/>
      <c r="J11"/>
      <c r="K11"/>
      <c r="L11"/>
      <c r="M11"/>
      <c r="N11"/>
    </row>
    <row r="12" spans="1:14" ht="15">
      <c r="B12"/>
      <c r="C12"/>
      <c r="D12"/>
      <c r="E12"/>
      <c r="F12"/>
      <c r="G12"/>
      <c r="H12"/>
      <c r="I12"/>
      <c r="J12"/>
      <c r="K12"/>
      <c r="L12"/>
      <c r="M12"/>
      <c r="N12"/>
    </row>
    <row r="13" spans="1:14" ht="15">
      <c r="B13"/>
      <c r="C13"/>
      <c r="D13"/>
      <c r="E13"/>
      <c r="F13"/>
      <c r="G13"/>
      <c r="H13"/>
      <c r="I13"/>
      <c r="J13"/>
      <c r="K13"/>
      <c r="L13"/>
      <c r="M13"/>
      <c r="N13"/>
    </row>
    <row r="14" spans="1:14" ht="15">
      <c r="B14"/>
      <c r="C14"/>
      <c r="D14"/>
      <c r="E14"/>
      <c r="F14"/>
      <c r="G14"/>
      <c r="H14"/>
      <c r="I14"/>
      <c r="J14"/>
      <c r="K14"/>
      <c r="L14"/>
      <c r="M14"/>
      <c r="N14"/>
    </row>
    <row r="15" spans="1:14" ht="15">
      <c r="B15"/>
      <c r="C15"/>
      <c r="D15"/>
      <c r="E15"/>
      <c r="F15"/>
      <c r="G15"/>
      <c r="H15"/>
      <c r="I15"/>
      <c r="J15"/>
      <c r="K15"/>
      <c r="L15"/>
      <c r="M15"/>
      <c r="N15"/>
    </row>
    <row r="16" spans="1:14" ht="15">
      <c r="B16"/>
      <c r="C16"/>
      <c r="D16"/>
      <c r="E16"/>
      <c r="F16"/>
      <c r="G16"/>
      <c r="H16"/>
      <c r="I16"/>
      <c r="J16"/>
      <c r="K16"/>
      <c r="L16"/>
      <c r="M16"/>
      <c r="N16"/>
    </row>
    <row r="17" spans="2:14" ht="15">
      <c r="B17"/>
      <c r="C17"/>
      <c r="D17"/>
      <c r="E17"/>
      <c r="F17"/>
      <c r="G17"/>
      <c r="H17"/>
      <c r="I17"/>
      <c r="J17"/>
      <c r="K17"/>
      <c r="L17"/>
      <c r="M17"/>
      <c r="N17"/>
    </row>
    <row r="18" spans="2:14" ht="15">
      <c r="B18"/>
      <c r="C18"/>
      <c r="D18"/>
      <c r="E18"/>
      <c r="F18"/>
      <c r="G18"/>
      <c r="H18"/>
      <c r="I18"/>
      <c r="J18"/>
      <c r="K18"/>
      <c r="L18"/>
      <c r="M18"/>
      <c r="N18"/>
    </row>
    <row r="19" spans="2:14" ht="15">
      <c r="B19"/>
      <c r="C19"/>
      <c r="D19"/>
      <c r="E19"/>
      <c r="F19"/>
      <c r="G19"/>
      <c r="H19"/>
      <c r="I19"/>
      <c r="J19"/>
      <c r="K19"/>
      <c r="L19"/>
      <c r="M19"/>
      <c r="N19"/>
    </row>
    <row r="20" spans="2:14" ht="15">
      <c r="B20"/>
      <c r="C20"/>
      <c r="D20"/>
      <c r="E20"/>
      <c r="F20"/>
      <c r="G20"/>
      <c r="H20"/>
      <c r="I20"/>
      <c r="J20"/>
      <c r="K20"/>
      <c r="L20"/>
      <c r="M20"/>
      <c r="N20"/>
    </row>
    <row r="21" spans="2:14" ht="15">
      <c r="B21"/>
      <c r="C21"/>
      <c r="D21"/>
      <c r="E21"/>
      <c r="F21"/>
      <c r="G21"/>
      <c r="H21"/>
      <c r="I21"/>
      <c r="J21"/>
      <c r="K21"/>
      <c r="L21"/>
      <c r="M21"/>
      <c r="N21"/>
    </row>
    <row r="22" spans="2:14" ht="15">
      <c r="B22"/>
      <c r="C22"/>
      <c r="D22"/>
      <c r="E22"/>
      <c r="F22"/>
      <c r="G22"/>
      <c r="H22"/>
      <c r="I22"/>
      <c r="J22"/>
      <c r="K22"/>
      <c r="L22"/>
      <c r="M22"/>
      <c r="N22"/>
    </row>
    <row r="23" spans="2:14" ht="15">
      <c r="B23"/>
      <c r="C23"/>
      <c r="D23"/>
      <c r="E23"/>
      <c r="F23"/>
      <c r="G23"/>
      <c r="H23"/>
      <c r="I23"/>
      <c r="J23"/>
      <c r="K23"/>
      <c r="L23"/>
      <c r="M23"/>
      <c r="N23"/>
    </row>
    <row r="24" spans="2:14" ht="15">
      <c r="B24"/>
      <c r="C24"/>
      <c r="D24"/>
      <c r="E24"/>
      <c r="F24"/>
      <c r="G24"/>
      <c r="H24"/>
      <c r="I24"/>
      <c r="J24"/>
      <c r="K24"/>
      <c r="L24"/>
      <c r="M24"/>
      <c r="N24"/>
    </row>
    <row r="25" spans="2:14" ht="15">
      <c r="B25"/>
      <c r="C25"/>
      <c r="D25"/>
      <c r="E25"/>
      <c r="F25"/>
      <c r="G25"/>
      <c r="H25"/>
      <c r="I25"/>
      <c r="J25"/>
      <c r="K25"/>
      <c r="L25"/>
      <c r="M25"/>
      <c r="N25"/>
    </row>
    <row r="26" spans="2:14" ht="15">
      <c r="B26"/>
      <c r="C26"/>
      <c r="D26"/>
      <c r="E26"/>
      <c r="F26"/>
      <c r="G26"/>
      <c r="H26"/>
      <c r="I26"/>
      <c r="J26"/>
      <c r="K26"/>
      <c r="L26"/>
      <c r="M26"/>
      <c r="N26"/>
    </row>
    <row r="27" spans="2:14" ht="15">
      <c r="B27"/>
      <c r="C27"/>
      <c r="D27"/>
      <c r="E27"/>
      <c r="F27"/>
      <c r="G27"/>
      <c r="H27"/>
      <c r="I27"/>
      <c r="J27"/>
      <c r="K27"/>
      <c r="L27"/>
      <c r="M27"/>
      <c r="N27"/>
    </row>
    <row r="28" spans="2:14" ht="15">
      <c r="B28"/>
      <c r="C28"/>
      <c r="D28"/>
      <c r="E28"/>
      <c r="F28"/>
      <c r="G28"/>
      <c r="H28"/>
      <c r="I28"/>
      <c r="J28"/>
      <c r="K28"/>
      <c r="L28"/>
      <c r="M28"/>
      <c r="N28"/>
    </row>
    <row r="29" spans="2:14" ht="15">
      <c r="B29"/>
      <c r="C29"/>
      <c r="D29"/>
      <c r="E29"/>
      <c r="F29"/>
      <c r="G29"/>
      <c r="H29"/>
      <c r="I29"/>
      <c r="J29"/>
      <c r="K29"/>
      <c r="L29"/>
      <c r="M29"/>
      <c r="N29"/>
    </row>
    <row r="30" spans="2:14" ht="15">
      <c r="B30"/>
      <c r="C30"/>
      <c r="D30"/>
      <c r="E30"/>
      <c r="F30"/>
      <c r="G30"/>
      <c r="H30"/>
      <c r="I30"/>
      <c r="J30"/>
      <c r="K30"/>
      <c r="L30"/>
      <c r="M30"/>
      <c r="N30"/>
    </row>
    <row r="31" spans="2:14" ht="15">
      <c r="B31"/>
      <c r="C31"/>
      <c r="D31"/>
      <c r="E31"/>
      <c r="F31"/>
      <c r="G31"/>
      <c r="H31"/>
      <c r="I31"/>
      <c r="J31"/>
      <c r="K31"/>
      <c r="L31"/>
      <c r="M31"/>
      <c r="N31"/>
    </row>
    <row r="32" spans="2:14" ht="15">
      <c r="B32"/>
      <c r="C32"/>
      <c r="D32"/>
      <c r="E32"/>
      <c r="F32"/>
      <c r="G32"/>
      <c r="H32"/>
      <c r="I32"/>
      <c r="J32"/>
      <c r="K32"/>
      <c r="L32"/>
      <c r="M32"/>
      <c r="N32"/>
    </row>
    <row r="33" spans="2:14" ht="15">
      <c r="B33"/>
      <c r="C33"/>
      <c r="D33"/>
      <c r="E33"/>
      <c r="F33"/>
      <c r="G33"/>
      <c r="H33"/>
      <c r="I33"/>
      <c r="J33"/>
      <c r="K33"/>
      <c r="L33"/>
      <c r="M33"/>
      <c r="N33"/>
    </row>
    <row r="34" spans="2:14" ht="15">
      <c r="B34"/>
      <c r="C34"/>
      <c r="D34"/>
      <c r="E34"/>
      <c r="F34"/>
      <c r="G34"/>
      <c r="H34"/>
      <c r="I34"/>
      <c r="J34"/>
      <c r="K34"/>
      <c r="L34"/>
      <c r="M34"/>
      <c r="N34"/>
    </row>
    <row r="35" spans="2:14" ht="15">
      <c r="B35"/>
      <c r="C35"/>
      <c r="D35"/>
      <c r="E35"/>
      <c r="F35"/>
      <c r="G35"/>
      <c r="H35"/>
      <c r="I35"/>
      <c r="J35"/>
      <c r="K35"/>
      <c r="L35"/>
      <c r="M35"/>
      <c r="N35"/>
    </row>
    <row r="36" spans="2:14" ht="15">
      <c r="B36"/>
      <c r="C36"/>
      <c r="D36"/>
      <c r="E36"/>
      <c r="F36"/>
      <c r="G36"/>
      <c r="H36"/>
      <c r="I36"/>
      <c r="J36"/>
      <c r="K36"/>
      <c r="L36"/>
      <c r="M36"/>
      <c r="N36"/>
    </row>
    <row r="37" spans="2:14" ht="15">
      <c r="B37"/>
      <c r="C37"/>
      <c r="D37"/>
      <c r="E37"/>
      <c r="F37"/>
      <c r="G37"/>
      <c r="H37"/>
      <c r="I37"/>
      <c r="J37"/>
      <c r="K37"/>
      <c r="L37"/>
      <c r="M37"/>
      <c r="N37"/>
    </row>
    <row r="38" spans="2:14" ht="15">
      <c r="B38"/>
      <c r="C38"/>
      <c r="D38"/>
      <c r="E38"/>
      <c r="F38"/>
      <c r="G38"/>
      <c r="H38"/>
      <c r="I38"/>
      <c r="J38"/>
      <c r="K38"/>
      <c r="L38"/>
      <c r="M38"/>
      <c r="N38"/>
    </row>
    <row r="39" spans="2:14" ht="15">
      <c r="B39"/>
      <c r="C39"/>
      <c r="D39"/>
      <c r="E39"/>
      <c r="F39"/>
      <c r="G39"/>
      <c r="H39"/>
      <c r="I39"/>
      <c r="J39"/>
      <c r="K39"/>
      <c r="L39"/>
      <c r="M39"/>
      <c r="N39"/>
    </row>
    <row r="40" spans="2:14" ht="15">
      <c r="B40"/>
      <c r="C40"/>
      <c r="D40"/>
      <c r="E40"/>
      <c r="F40"/>
      <c r="G40"/>
      <c r="H40"/>
      <c r="I40"/>
      <c r="J40"/>
      <c r="K40"/>
      <c r="L40"/>
      <c r="M40"/>
      <c r="N40"/>
    </row>
    <row r="41" spans="2:14" ht="15">
      <c r="B41"/>
      <c r="C41"/>
      <c r="D41"/>
      <c r="E41"/>
      <c r="F41"/>
      <c r="G41"/>
      <c r="H41"/>
      <c r="I41"/>
      <c r="J41"/>
      <c r="K41"/>
      <c r="L41"/>
      <c r="M41"/>
      <c r="N41"/>
    </row>
    <row r="42" spans="2:14" ht="15">
      <c r="B42"/>
      <c r="C42"/>
      <c r="D42"/>
      <c r="E42"/>
      <c r="F42"/>
      <c r="G42"/>
      <c r="H42"/>
      <c r="I42"/>
      <c r="J42"/>
      <c r="K42"/>
      <c r="L42"/>
      <c r="M42"/>
      <c r="N42"/>
    </row>
    <row r="43" spans="2:14" ht="15">
      <c r="B43"/>
      <c r="C43"/>
      <c r="D43"/>
      <c r="E43"/>
      <c r="F43"/>
      <c r="G43"/>
      <c r="H43"/>
      <c r="I43"/>
      <c r="J43"/>
      <c r="K43"/>
      <c r="L43"/>
      <c r="M43"/>
      <c r="N43"/>
    </row>
    <row r="44" spans="2:14" ht="15">
      <c r="B44"/>
      <c r="C44"/>
      <c r="D44"/>
      <c r="E44"/>
      <c r="F44"/>
      <c r="G44"/>
      <c r="H44"/>
      <c r="I44"/>
      <c r="J44"/>
      <c r="K44"/>
      <c r="L44"/>
      <c r="M44"/>
      <c r="N44"/>
    </row>
    <row r="45" spans="2:14" ht="15">
      <c r="B45"/>
      <c r="C45"/>
      <c r="D45"/>
      <c r="E45"/>
      <c r="F45"/>
      <c r="G45"/>
      <c r="H45"/>
      <c r="I45"/>
      <c r="J45"/>
      <c r="K45"/>
      <c r="L45"/>
      <c r="M45"/>
      <c r="N45"/>
    </row>
    <row r="46" spans="2:14" ht="15">
      <c r="B46"/>
      <c r="C46"/>
      <c r="D46"/>
      <c r="E46"/>
      <c r="F46"/>
      <c r="G46"/>
      <c r="H46"/>
      <c r="I46"/>
      <c r="J46"/>
      <c r="K46"/>
      <c r="L46"/>
      <c r="M46"/>
      <c r="N46"/>
    </row>
    <row r="47" spans="2:14" ht="15">
      <c r="B47"/>
      <c r="C47"/>
      <c r="D47"/>
      <c r="E47"/>
      <c r="F47"/>
      <c r="G47"/>
      <c r="H47"/>
      <c r="I47"/>
      <c r="J47"/>
      <c r="K47"/>
      <c r="L47"/>
      <c r="M47"/>
      <c r="N47"/>
    </row>
    <row r="48" spans="2:14" ht="15">
      <c r="B48"/>
      <c r="C48"/>
      <c r="D48"/>
      <c r="E48"/>
      <c r="F48"/>
      <c r="G48"/>
      <c r="H48"/>
      <c r="I48"/>
      <c r="J48"/>
      <c r="K48"/>
      <c r="L48"/>
      <c r="M48"/>
      <c r="N48"/>
    </row>
    <row r="49" spans="2:14" ht="15">
      <c r="B49"/>
      <c r="C49"/>
      <c r="D49"/>
      <c r="E49"/>
      <c r="F49"/>
      <c r="G49"/>
      <c r="H49"/>
      <c r="I49"/>
      <c r="J49"/>
      <c r="K49"/>
      <c r="L49"/>
      <c r="M49"/>
      <c r="N49"/>
    </row>
    <row r="50" spans="2:14" ht="15">
      <c r="B50"/>
      <c r="C50"/>
      <c r="D50"/>
      <c r="E50"/>
      <c r="F50"/>
      <c r="G50"/>
      <c r="H50"/>
      <c r="I50"/>
      <c r="J50"/>
      <c r="K50"/>
      <c r="L50"/>
      <c r="M50"/>
      <c r="N50"/>
    </row>
    <row r="51" spans="2:14" ht="15">
      <c r="B51"/>
      <c r="C51"/>
      <c r="D51"/>
      <c r="E51"/>
      <c r="F51"/>
      <c r="G51"/>
      <c r="H51"/>
      <c r="I51"/>
      <c r="J51"/>
      <c r="K51"/>
      <c r="L51"/>
      <c r="M51"/>
      <c r="N51"/>
    </row>
    <row r="52" spans="2:14" ht="15">
      <c r="B52"/>
      <c r="C52"/>
      <c r="D52"/>
      <c r="E52"/>
      <c r="F52"/>
      <c r="G52"/>
      <c r="H52"/>
      <c r="I52"/>
      <c r="J52"/>
      <c r="K52"/>
      <c r="L52"/>
      <c r="M52"/>
      <c r="N52"/>
    </row>
    <row r="53" spans="2:14" ht="15">
      <c r="B53"/>
      <c r="C53"/>
      <c r="D53"/>
      <c r="E53"/>
      <c r="F53"/>
      <c r="G53"/>
      <c r="H53"/>
      <c r="I53"/>
      <c r="J53"/>
      <c r="K53"/>
      <c r="L53"/>
      <c r="M53"/>
      <c r="N53"/>
    </row>
    <row r="54" spans="2:14" ht="15">
      <c r="B54"/>
      <c r="C54"/>
      <c r="D54"/>
      <c r="E54"/>
      <c r="F54"/>
      <c r="G54"/>
      <c r="H54"/>
      <c r="I54"/>
      <c r="J54"/>
      <c r="K54"/>
      <c r="L54"/>
      <c r="M54"/>
      <c r="N54"/>
    </row>
    <row r="55" spans="2:14" ht="15">
      <c r="B55"/>
      <c r="C55"/>
      <c r="D55"/>
      <c r="E55"/>
      <c r="F55"/>
      <c r="G55"/>
      <c r="H55"/>
      <c r="I55"/>
      <c r="J55"/>
      <c r="K55"/>
      <c r="L55"/>
      <c r="M55"/>
      <c r="N55"/>
    </row>
    <row r="56" spans="2:14" ht="15">
      <c r="B56"/>
      <c r="C56"/>
      <c r="D56"/>
      <c r="E56"/>
      <c r="F56"/>
      <c r="G56"/>
      <c r="H56"/>
      <c r="I56"/>
      <c r="J56"/>
      <c r="K56"/>
      <c r="L56"/>
      <c r="M56"/>
      <c r="N56"/>
    </row>
    <row r="57" spans="2:14" ht="15">
      <c r="B57"/>
      <c r="C57"/>
      <c r="D57"/>
      <c r="E57"/>
      <c r="F57"/>
      <c r="G57"/>
      <c r="H57"/>
      <c r="I57"/>
      <c r="J57"/>
      <c r="K57"/>
      <c r="L57"/>
      <c r="M57"/>
      <c r="N57"/>
    </row>
    <row r="58" spans="2:14" ht="15">
      <c r="B58"/>
      <c r="C58"/>
      <c r="D58"/>
      <c r="E58"/>
      <c r="F58"/>
      <c r="G58"/>
      <c r="H58"/>
      <c r="I58"/>
      <c r="J58"/>
      <c r="K58"/>
      <c r="L58"/>
      <c r="M58"/>
      <c r="N58"/>
    </row>
    <row r="59" spans="2:14" ht="15">
      <c r="B59"/>
      <c r="C59"/>
      <c r="D59"/>
      <c r="E59"/>
      <c r="F59"/>
      <c r="G59"/>
      <c r="H59"/>
      <c r="I59"/>
      <c r="J59"/>
      <c r="K59"/>
      <c r="L59"/>
      <c r="M59"/>
      <c r="N59"/>
    </row>
    <row r="60" spans="2:14" ht="15">
      <c r="B60"/>
      <c r="C60"/>
      <c r="D60"/>
      <c r="E60"/>
      <c r="F60"/>
      <c r="G60"/>
      <c r="H60"/>
      <c r="I60"/>
      <c r="J60"/>
      <c r="K60"/>
      <c r="L60"/>
      <c r="M60"/>
      <c r="N60"/>
    </row>
    <row r="61" spans="2:14" ht="15">
      <c r="B61"/>
      <c r="C61"/>
      <c r="D61"/>
      <c r="E61"/>
      <c r="F61"/>
      <c r="G61"/>
      <c r="H61"/>
      <c r="I61"/>
      <c r="J61"/>
      <c r="K61"/>
      <c r="L61"/>
      <c r="M61"/>
      <c r="N61"/>
    </row>
    <row r="62" spans="2:14" ht="15">
      <c r="B62"/>
      <c r="C62"/>
      <c r="D62"/>
      <c r="E62"/>
      <c r="F62"/>
      <c r="G62"/>
      <c r="H62"/>
      <c r="I62"/>
      <c r="J62"/>
      <c r="K62"/>
      <c r="L62"/>
      <c r="M62"/>
      <c r="N62"/>
    </row>
    <row r="63" spans="2:14" ht="15">
      <c r="B63"/>
      <c r="C63"/>
      <c r="D63"/>
      <c r="E63"/>
      <c r="F63"/>
      <c r="G63"/>
      <c r="H63"/>
      <c r="I63"/>
      <c r="J63"/>
      <c r="K63"/>
      <c r="L63"/>
      <c r="M63"/>
      <c r="N63"/>
    </row>
    <row r="64" spans="2:14" ht="15">
      <c r="B64"/>
      <c r="C64"/>
      <c r="D64"/>
      <c r="E64"/>
      <c r="F64"/>
      <c r="G64"/>
      <c r="H64"/>
      <c r="I64"/>
      <c r="J64"/>
      <c r="K64"/>
      <c r="L64"/>
      <c r="M64"/>
      <c r="N64"/>
    </row>
    <row r="65" spans="2:14" ht="15">
      <c r="B65"/>
      <c r="C65"/>
      <c r="D65"/>
      <c r="E65"/>
      <c r="F65"/>
      <c r="G65"/>
      <c r="H65"/>
      <c r="I65"/>
      <c r="J65"/>
      <c r="K65"/>
      <c r="L65"/>
      <c r="M65"/>
      <c r="N65"/>
    </row>
    <row r="66" spans="2:14" ht="15">
      <c r="B66"/>
      <c r="C66"/>
      <c r="D66"/>
      <c r="E66"/>
      <c r="F66"/>
      <c r="G66"/>
      <c r="H66"/>
      <c r="I66"/>
      <c r="J66"/>
      <c r="K66"/>
      <c r="L66"/>
      <c r="M66"/>
      <c r="N66"/>
    </row>
    <row r="67" spans="2:14" ht="15">
      <c r="B67"/>
      <c r="C67"/>
      <c r="D67"/>
      <c r="E67"/>
      <c r="F67"/>
      <c r="G67"/>
      <c r="H67"/>
      <c r="I67"/>
      <c r="J67"/>
      <c r="K67"/>
      <c r="L67"/>
      <c r="M67"/>
      <c r="N67"/>
    </row>
    <row r="68" spans="2:14" ht="15">
      <c r="B68"/>
      <c r="C68"/>
      <c r="D68"/>
      <c r="E68"/>
      <c r="F68"/>
      <c r="G68"/>
      <c r="H68"/>
      <c r="I68"/>
      <c r="J68"/>
      <c r="K68"/>
      <c r="L68"/>
      <c r="M68"/>
      <c r="N68"/>
    </row>
    <row r="69" spans="2:14" ht="15">
      <c r="B69"/>
      <c r="C69"/>
      <c r="D69"/>
      <c r="E69"/>
      <c r="F69"/>
      <c r="G69"/>
      <c r="H69"/>
      <c r="I69"/>
      <c r="J69"/>
      <c r="K69"/>
      <c r="L69"/>
      <c r="M69"/>
      <c r="N69"/>
    </row>
    <row r="70" spans="2:14" ht="15">
      <c r="B70"/>
      <c r="C70"/>
      <c r="D70"/>
      <c r="E70"/>
      <c r="F70"/>
      <c r="G70"/>
      <c r="H70"/>
      <c r="I70"/>
      <c r="J70"/>
      <c r="K70"/>
      <c r="L70"/>
      <c r="M70"/>
      <c r="N70"/>
    </row>
    <row r="71" spans="2:14" ht="15">
      <c r="B71"/>
      <c r="C71"/>
      <c r="D71"/>
      <c r="E71"/>
      <c r="F71"/>
      <c r="G71"/>
      <c r="H71"/>
      <c r="I71"/>
      <c r="J71"/>
      <c r="K71"/>
      <c r="L71"/>
      <c r="M71"/>
      <c r="N71"/>
    </row>
    <row r="72" spans="2:14" ht="15">
      <c r="B72"/>
      <c r="C72"/>
      <c r="D72"/>
      <c r="E72"/>
      <c r="F72"/>
      <c r="G72"/>
      <c r="H72"/>
      <c r="I72"/>
      <c r="J72"/>
      <c r="K72"/>
      <c r="L72"/>
      <c r="M72"/>
      <c r="N72"/>
    </row>
    <row r="73" spans="2:14" ht="15">
      <c r="B73"/>
      <c r="C73"/>
      <c r="D73"/>
      <c r="E73"/>
      <c r="F73"/>
      <c r="G73"/>
      <c r="H73"/>
      <c r="I73"/>
      <c r="J73"/>
      <c r="K73"/>
      <c r="L73"/>
      <c r="M73"/>
      <c r="N73"/>
    </row>
    <row r="74" spans="2:14" ht="15">
      <c r="B74"/>
      <c r="C74"/>
      <c r="D74"/>
      <c r="E74"/>
      <c r="F74"/>
      <c r="G74"/>
      <c r="H74"/>
      <c r="I74"/>
      <c r="J74"/>
      <c r="K74"/>
      <c r="L74"/>
      <c r="M74"/>
      <c r="N74"/>
    </row>
    <row r="75" spans="2:14" ht="15">
      <c r="B75"/>
      <c r="C75"/>
      <c r="D75"/>
      <c r="E75"/>
      <c r="F75"/>
      <c r="G75"/>
      <c r="H75"/>
      <c r="I75"/>
      <c r="J75"/>
      <c r="K75"/>
      <c r="L75"/>
      <c r="M75"/>
      <c r="N75"/>
    </row>
    <row r="76" spans="2:14" ht="15">
      <c r="B76"/>
      <c r="C76"/>
      <c r="D76"/>
      <c r="E76"/>
      <c r="F76"/>
      <c r="G76"/>
      <c r="H76"/>
      <c r="I76"/>
      <c r="J76"/>
      <c r="K76"/>
      <c r="L76"/>
      <c r="M76"/>
      <c r="N76"/>
    </row>
    <row r="77" spans="2:14" ht="15">
      <c r="B77"/>
      <c r="C77"/>
      <c r="D77"/>
      <c r="E77"/>
      <c r="F77"/>
      <c r="G77"/>
      <c r="H77"/>
      <c r="I77"/>
      <c r="J77"/>
      <c r="K77"/>
      <c r="L77"/>
      <c r="M77"/>
      <c r="N77"/>
    </row>
    <row r="78" spans="2:14" ht="15">
      <c r="B78"/>
      <c r="C78"/>
      <c r="D78"/>
      <c r="E78"/>
      <c r="F78"/>
      <c r="G78"/>
      <c r="H78"/>
      <c r="I78"/>
      <c r="J78"/>
      <c r="K78"/>
      <c r="L78"/>
      <c r="M78"/>
      <c r="N78"/>
    </row>
    <row r="79" spans="2:14" ht="15">
      <c r="B79"/>
      <c r="C79"/>
      <c r="D79"/>
      <c r="E79"/>
      <c r="F79"/>
      <c r="G79"/>
      <c r="H79"/>
      <c r="I79"/>
      <c r="J79"/>
      <c r="K79"/>
      <c r="L79"/>
      <c r="M79"/>
      <c r="N79"/>
    </row>
    <row r="80" spans="2:14" ht="15">
      <c r="B80"/>
      <c r="C80"/>
      <c r="D80"/>
      <c r="E80"/>
      <c r="F80"/>
      <c r="G80"/>
      <c r="H80"/>
      <c r="I80"/>
      <c r="J80"/>
      <c r="K80"/>
      <c r="L80"/>
      <c r="M80"/>
      <c r="N80"/>
    </row>
    <row r="81" spans="2:14" ht="15">
      <c r="B81"/>
      <c r="C81"/>
      <c r="D81"/>
      <c r="E81"/>
      <c r="F81"/>
      <c r="G81"/>
      <c r="H81"/>
      <c r="I81"/>
      <c r="J81"/>
      <c r="K81"/>
      <c r="L81"/>
      <c r="M81"/>
      <c r="N81"/>
    </row>
    <row r="82" spans="2:14" ht="15">
      <c r="B82"/>
      <c r="C82"/>
      <c r="D82"/>
      <c r="E82"/>
      <c r="F82"/>
      <c r="G82"/>
      <c r="H82"/>
      <c r="I82"/>
      <c r="J82"/>
      <c r="K82"/>
      <c r="L82"/>
      <c r="M82"/>
      <c r="N82"/>
    </row>
    <row r="83" spans="2:14" ht="15">
      <c r="B83"/>
      <c r="C83"/>
      <c r="D83"/>
      <c r="E83"/>
      <c r="F83"/>
      <c r="G83"/>
      <c r="H83"/>
      <c r="I83"/>
      <c r="J83"/>
      <c r="K83"/>
      <c r="L83"/>
      <c r="M83"/>
      <c r="N83"/>
    </row>
    <row r="84" spans="2:14" ht="15">
      <c r="B84"/>
      <c r="C84"/>
      <c r="D84"/>
      <c r="E84"/>
      <c r="F84"/>
      <c r="G84"/>
      <c r="H84"/>
      <c r="I84"/>
      <c r="J84"/>
      <c r="K84"/>
      <c r="L84"/>
      <c r="M84"/>
      <c r="N84"/>
    </row>
    <row r="85" spans="2:14" ht="15">
      <c r="B85"/>
      <c r="C85"/>
      <c r="D85"/>
      <c r="E85"/>
      <c r="F85"/>
      <c r="G85"/>
      <c r="H85"/>
      <c r="I85"/>
      <c r="J85"/>
      <c r="K85"/>
      <c r="L85"/>
      <c r="M85"/>
      <c r="N85"/>
    </row>
    <row r="86" spans="2:14" ht="15">
      <c r="B86"/>
      <c r="C86"/>
      <c r="D86"/>
      <c r="E86"/>
      <c r="F86"/>
      <c r="G86"/>
      <c r="H86"/>
      <c r="I86"/>
      <c r="J86"/>
      <c r="K86"/>
      <c r="L86"/>
      <c r="M86"/>
      <c r="N86"/>
    </row>
    <row r="87" spans="2:14" ht="15">
      <c r="B87"/>
      <c r="C87"/>
      <c r="D87"/>
      <c r="E87"/>
      <c r="F87"/>
      <c r="G87"/>
      <c r="H87"/>
      <c r="I87"/>
      <c r="J87"/>
      <c r="K87"/>
      <c r="L87"/>
      <c r="M87"/>
      <c r="N87"/>
    </row>
    <row r="88" spans="2:14" ht="15">
      <c r="B88"/>
      <c r="C88"/>
      <c r="D88"/>
      <c r="E88"/>
      <c r="F88"/>
      <c r="G88"/>
      <c r="H88"/>
      <c r="I88"/>
      <c r="J88"/>
      <c r="K88"/>
      <c r="L88"/>
      <c r="M88"/>
      <c r="N88"/>
    </row>
    <row r="89" spans="2:14" ht="15">
      <c r="B89"/>
      <c r="C89"/>
      <c r="D89"/>
      <c r="E89"/>
      <c r="F89"/>
      <c r="G89"/>
      <c r="H89"/>
      <c r="I89"/>
      <c r="J89"/>
      <c r="K89"/>
      <c r="L89"/>
      <c r="M89"/>
      <c r="N89"/>
    </row>
    <row r="90" spans="2:14" ht="15">
      <c r="B90"/>
      <c r="C90"/>
      <c r="D90"/>
      <c r="E90" s="38"/>
      <c r="F90"/>
      <c r="G90"/>
      <c r="H90"/>
      <c r="I90"/>
    </row>
    <row r="91" spans="2:14" ht="15">
      <c r="B91"/>
      <c r="C91"/>
      <c r="D91"/>
      <c r="E91" s="38"/>
      <c r="F91"/>
      <c r="G91"/>
      <c r="H91"/>
      <c r="I91"/>
    </row>
    <row r="92" spans="2:14" ht="15">
      <c r="B92"/>
      <c r="C92"/>
      <c r="D92"/>
      <c r="E92" s="38"/>
      <c r="F92"/>
      <c r="G92"/>
      <c r="H92"/>
      <c r="I92"/>
    </row>
    <row r="93" spans="2:14" ht="15">
      <c r="B93"/>
      <c r="C93"/>
      <c r="D93"/>
      <c r="E93" s="38"/>
      <c r="F93"/>
      <c r="G93"/>
      <c r="H93"/>
      <c r="I93"/>
    </row>
    <row r="94" spans="2:14" ht="15">
      <c r="B94"/>
      <c r="C94"/>
      <c r="D94"/>
      <c r="E94" s="38"/>
      <c r="F94"/>
      <c r="G94"/>
      <c r="H94"/>
      <c r="I94"/>
    </row>
    <row r="95" spans="2:14" ht="15">
      <c r="B95"/>
      <c r="C95"/>
      <c r="D95"/>
      <c r="E95" s="38"/>
      <c r="F95"/>
      <c r="G95"/>
      <c r="H95"/>
      <c r="I95"/>
    </row>
    <row r="96" spans="2:14" ht="15">
      <c r="B96"/>
      <c r="C96"/>
      <c r="D96"/>
      <c r="E96" s="38"/>
      <c r="F96"/>
      <c r="G96"/>
      <c r="H96"/>
      <c r="I96"/>
    </row>
    <row r="97" spans="2:9" ht="15">
      <c r="B97"/>
      <c r="C97"/>
      <c r="D97"/>
      <c r="E97" s="38"/>
      <c r="F97"/>
      <c r="G97"/>
      <c r="H97"/>
      <c r="I97"/>
    </row>
    <row r="98" spans="2:9" ht="15">
      <c r="B98"/>
      <c r="C98"/>
      <c r="D98"/>
      <c r="E98" s="38"/>
      <c r="F98"/>
      <c r="G98"/>
      <c r="H98"/>
      <c r="I98"/>
    </row>
    <row r="99" spans="2:9" ht="15">
      <c r="B99"/>
      <c r="C99"/>
      <c r="D99"/>
      <c r="E99" s="38"/>
      <c r="F99"/>
      <c r="G99"/>
      <c r="H99"/>
      <c r="I99"/>
    </row>
    <row r="100" spans="2:9" ht="15">
      <c r="B100"/>
      <c r="C100"/>
      <c r="D100"/>
      <c r="E100" s="38"/>
      <c r="F100"/>
      <c r="G100"/>
      <c r="H100"/>
      <c r="I100"/>
    </row>
    <row r="101" spans="2:9" ht="15">
      <c r="B101"/>
      <c r="C101"/>
      <c r="D101"/>
      <c r="E101" s="38"/>
      <c r="F101"/>
      <c r="G101"/>
      <c r="H101"/>
      <c r="I101"/>
    </row>
    <row r="102" spans="2:9" ht="15">
      <c r="B102"/>
      <c r="C102"/>
      <c r="D102"/>
      <c r="E102" s="38"/>
      <c r="F102"/>
      <c r="G102"/>
      <c r="H102"/>
      <c r="I102"/>
    </row>
    <row r="103" spans="2:9" ht="15">
      <c r="B103"/>
      <c r="C103"/>
      <c r="D103"/>
      <c r="E103" s="38"/>
      <c r="F103"/>
      <c r="G103"/>
      <c r="H103"/>
      <c r="I103"/>
    </row>
    <row r="104" spans="2:9" ht="15">
      <c r="B104"/>
      <c r="C104"/>
      <c r="D104"/>
      <c r="E104" s="38"/>
      <c r="F104"/>
      <c r="G104"/>
      <c r="H104"/>
      <c r="I104"/>
    </row>
    <row r="105" spans="2:9" ht="15">
      <c r="B105"/>
      <c r="C105"/>
      <c r="D105"/>
      <c r="E105" s="38"/>
      <c r="F105"/>
      <c r="G105"/>
      <c r="H105"/>
      <c r="I105"/>
    </row>
    <row r="106" spans="2:9" ht="15">
      <c r="B106"/>
      <c r="C106"/>
      <c r="D106"/>
      <c r="E106" s="38"/>
      <c r="F106"/>
      <c r="G106"/>
      <c r="H106"/>
      <c r="I106"/>
    </row>
    <row r="107" spans="2:9" ht="15">
      <c r="B107"/>
      <c r="C107"/>
      <c r="D107"/>
      <c r="E107" s="38"/>
      <c r="F107"/>
      <c r="G107"/>
      <c r="H107"/>
      <c r="I107"/>
    </row>
    <row r="108" spans="2:9" ht="15">
      <c r="B108"/>
      <c r="C108"/>
      <c r="D108"/>
      <c r="E108" s="38"/>
      <c r="F108"/>
      <c r="G108"/>
      <c r="H108"/>
      <c r="I108"/>
    </row>
    <row r="109" spans="2:9" ht="15">
      <c r="B109"/>
      <c r="C109"/>
      <c r="D109"/>
      <c r="E109" s="38"/>
      <c r="F109"/>
      <c r="G109"/>
      <c r="H109"/>
      <c r="I109"/>
    </row>
    <row r="110" spans="2:9" ht="15">
      <c r="B110"/>
      <c r="C110"/>
      <c r="D110"/>
      <c r="E110" s="38"/>
      <c r="F110"/>
      <c r="G110"/>
      <c r="H110"/>
      <c r="I110"/>
    </row>
    <row r="111" spans="2:9" ht="15">
      <c r="B111"/>
      <c r="C111"/>
      <c r="D111"/>
      <c r="E111" s="38"/>
      <c r="F111"/>
      <c r="G111"/>
      <c r="H111"/>
      <c r="I111"/>
    </row>
    <row r="112" spans="2:9" ht="15">
      <c r="B112"/>
      <c r="C112"/>
      <c r="D112"/>
      <c r="E112" s="38"/>
      <c r="F112"/>
      <c r="G112"/>
      <c r="H112"/>
      <c r="I112"/>
    </row>
    <row r="113" spans="2:9" ht="15">
      <c r="B113"/>
      <c r="C113"/>
      <c r="D113"/>
      <c r="E113" s="38"/>
      <c r="F113"/>
      <c r="G113"/>
      <c r="H113"/>
      <c r="I113"/>
    </row>
    <row r="114" spans="2:9" ht="15">
      <c r="B114"/>
      <c r="C114"/>
      <c r="D114"/>
      <c r="E114" s="38"/>
      <c r="F114"/>
      <c r="G114"/>
      <c r="H114"/>
      <c r="I114"/>
    </row>
    <row r="115" spans="2:9" ht="15">
      <c r="B115"/>
      <c r="C115"/>
      <c r="D115"/>
      <c r="E115" s="38"/>
      <c r="F115"/>
      <c r="G115"/>
      <c r="H115"/>
      <c r="I115"/>
    </row>
    <row r="116" spans="2:9" ht="15">
      <c r="B116"/>
      <c r="C116"/>
      <c r="D116"/>
      <c r="E116" s="38"/>
      <c r="F116"/>
      <c r="G116"/>
      <c r="H116"/>
      <c r="I116"/>
    </row>
    <row r="117" spans="2:9" ht="15">
      <c r="B117"/>
      <c r="C117"/>
      <c r="D117"/>
      <c r="E117" s="38"/>
      <c r="F117"/>
      <c r="G117"/>
      <c r="H117"/>
      <c r="I117"/>
    </row>
    <row r="118" spans="2:9" ht="15">
      <c r="B118"/>
      <c r="C118"/>
      <c r="D118"/>
      <c r="E118" s="38"/>
      <c r="F118"/>
      <c r="G118"/>
      <c r="H118"/>
      <c r="I118"/>
    </row>
    <row r="119" spans="2:9" ht="15">
      <c r="B119"/>
      <c r="C119"/>
      <c r="D119"/>
      <c r="E119" s="38"/>
      <c r="F119"/>
      <c r="G119"/>
      <c r="H119"/>
      <c r="I119"/>
    </row>
    <row r="120" spans="2:9" ht="15">
      <c r="B120"/>
      <c r="C120"/>
      <c r="D120"/>
      <c r="E120" s="38"/>
      <c r="F120"/>
      <c r="G120"/>
      <c r="H120"/>
      <c r="I120"/>
    </row>
    <row r="121" spans="2:9" ht="15">
      <c r="B121"/>
      <c r="C121"/>
      <c r="D121"/>
      <c r="E121" s="38"/>
      <c r="F121"/>
      <c r="G121"/>
      <c r="H121"/>
      <c r="I121"/>
    </row>
    <row r="122" spans="2:9" ht="15">
      <c r="B122"/>
      <c r="C122"/>
      <c r="D122"/>
      <c r="E122" s="38"/>
      <c r="F122"/>
      <c r="G122"/>
      <c r="H122"/>
      <c r="I122"/>
    </row>
    <row r="123" spans="2:9" ht="15">
      <c r="B123"/>
      <c r="C123"/>
      <c r="D123"/>
      <c r="E123" s="38"/>
      <c r="F123"/>
      <c r="G123"/>
      <c r="H123"/>
      <c r="I123"/>
    </row>
    <row r="124" spans="2:9" ht="15">
      <c r="B124"/>
      <c r="C124"/>
      <c r="D124"/>
      <c r="E124" s="38"/>
      <c r="F124"/>
      <c r="G124"/>
      <c r="H124"/>
      <c r="I124"/>
    </row>
    <row r="125" spans="2:9" ht="15">
      <c r="B125"/>
      <c r="C125"/>
      <c r="D125"/>
      <c r="E125" s="38"/>
      <c r="F125"/>
      <c r="G125"/>
      <c r="H125"/>
      <c r="I125"/>
    </row>
    <row r="126" spans="2:9" ht="15">
      <c r="B126"/>
      <c r="C126"/>
      <c r="D126"/>
      <c r="E126" s="38"/>
      <c r="F126"/>
      <c r="G126"/>
      <c r="H126"/>
      <c r="I126"/>
    </row>
    <row r="127" spans="2:9" ht="15">
      <c r="B127"/>
      <c r="C127"/>
      <c r="D127"/>
      <c r="E127" s="38"/>
      <c r="F127"/>
      <c r="G127"/>
      <c r="H127"/>
      <c r="I127"/>
    </row>
    <row r="128" spans="2:9" ht="15">
      <c r="B128"/>
      <c r="C128"/>
      <c r="D128"/>
      <c r="E128" s="38"/>
      <c r="F128"/>
      <c r="G128"/>
      <c r="H128"/>
      <c r="I128"/>
    </row>
    <row r="129" spans="2:9" ht="15">
      <c r="B129"/>
      <c r="C129"/>
      <c r="D129"/>
      <c r="E129" s="38"/>
      <c r="F129"/>
      <c r="G129"/>
      <c r="H129"/>
      <c r="I129"/>
    </row>
    <row r="130" spans="2:9" ht="15">
      <c r="B130"/>
      <c r="C130"/>
      <c r="D130"/>
      <c r="E130" s="38"/>
      <c r="F130"/>
      <c r="G130"/>
      <c r="H130"/>
      <c r="I130"/>
    </row>
    <row r="131" spans="2:9" ht="15">
      <c r="B131"/>
      <c r="C131"/>
      <c r="D131"/>
      <c r="E131" s="38"/>
      <c r="F131"/>
      <c r="G131"/>
      <c r="H131"/>
      <c r="I131"/>
    </row>
    <row r="132" spans="2:9" ht="15">
      <c r="B132"/>
      <c r="C132"/>
      <c r="D132"/>
      <c r="E132" s="38"/>
      <c r="F132"/>
      <c r="G132"/>
      <c r="H132"/>
      <c r="I132"/>
    </row>
    <row r="133" spans="2:9" ht="15">
      <c r="B133"/>
      <c r="C133"/>
      <c r="D133"/>
      <c r="E133" s="38"/>
      <c r="F133"/>
      <c r="G133"/>
      <c r="H133"/>
      <c r="I133"/>
    </row>
    <row r="134" spans="2:9" ht="15">
      <c r="B134"/>
      <c r="C134"/>
      <c r="D134"/>
      <c r="E134" s="38"/>
      <c r="F134"/>
      <c r="G134"/>
      <c r="H134"/>
      <c r="I134"/>
    </row>
    <row r="135" spans="2:9" ht="15">
      <c r="B135"/>
      <c r="C135"/>
      <c r="D135"/>
      <c r="E135" s="38"/>
      <c r="F135"/>
      <c r="G135"/>
      <c r="H135"/>
      <c r="I135"/>
    </row>
    <row r="136" spans="2:9" ht="15">
      <c r="B136"/>
      <c r="C136"/>
      <c r="D136"/>
      <c r="E136" s="38"/>
      <c r="F136"/>
      <c r="G136"/>
      <c r="H136"/>
      <c r="I136"/>
    </row>
    <row r="137" spans="2:9" ht="15">
      <c r="B137"/>
      <c r="C137"/>
      <c r="D137"/>
      <c r="E137" s="38"/>
      <c r="F137"/>
      <c r="G137"/>
      <c r="H137"/>
      <c r="I137"/>
    </row>
    <row r="138" spans="2:9" ht="15">
      <c r="B138"/>
      <c r="C138"/>
      <c r="D138"/>
      <c r="E138" s="38"/>
      <c r="F138"/>
      <c r="G138"/>
      <c r="H138"/>
      <c r="I138"/>
    </row>
    <row r="139" spans="2:9" ht="15">
      <c r="B139"/>
      <c r="C139"/>
      <c r="D139"/>
      <c r="E139" s="38"/>
      <c r="F139"/>
      <c r="G139"/>
      <c r="H139"/>
      <c r="I139"/>
    </row>
    <row r="140" spans="2:9" ht="15">
      <c r="B140"/>
      <c r="C140"/>
      <c r="D140"/>
      <c r="E140" s="38"/>
      <c r="F140"/>
      <c r="G140"/>
      <c r="H140"/>
      <c r="I140"/>
    </row>
    <row r="141" spans="2:9" ht="15">
      <c r="B141"/>
      <c r="C141"/>
      <c r="D141"/>
      <c r="E141" s="38"/>
      <c r="F141"/>
      <c r="G141"/>
      <c r="H141"/>
      <c r="I141"/>
    </row>
    <row r="142" spans="2:9" ht="15">
      <c r="B142"/>
      <c r="C142"/>
      <c r="D142"/>
      <c r="E142" s="38"/>
      <c r="F142"/>
      <c r="G142"/>
      <c r="H142"/>
      <c r="I142"/>
    </row>
    <row r="143" spans="2:9" ht="15">
      <c r="B143"/>
      <c r="C143"/>
      <c r="D143"/>
      <c r="E143" s="38"/>
      <c r="F143"/>
      <c r="G143"/>
      <c r="H143"/>
      <c r="I143"/>
    </row>
    <row r="144" spans="2:9" ht="15">
      <c r="B144"/>
      <c r="C144"/>
      <c r="D144"/>
      <c r="E144" s="38"/>
      <c r="F144"/>
      <c r="G144"/>
      <c r="H144"/>
      <c r="I144"/>
    </row>
    <row r="145" spans="2:9" ht="15">
      <c r="B145"/>
      <c r="C145"/>
      <c r="D145"/>
      <c r="E145" s="38"/>
      <c r="F145"/>
      <c r="G145"/>
      <c r="H145"/>
      <c r="I145"/>
    </row>
    <row r="146" spans="2:9" ht="15">
      <c r="B146"/>
      <c r="C146"/>
      <c r="D146"/>
      <c r="E146" s="38"/>
      <c r="F146"/>
      <c r="G146"/>
      <c r="H146"/>
      <c r="I146"/>
    </row>
    <row r="147" spans="2:9" ht="15">
      <c r="B147"/>
      <c r="C147"/>
      <c r="D147"/>
      <c r="E147" s="38"/>
      <c r="F147"/>
      <c r="G147"/>
      <c r="H147"/>
      <c r="I147"/>
    </row>
    <row r="148" spans="2:9" ht="15">
      <c r="B148"/>
      <c r="C148"/>
      <c r="D148"/>
      <c r="E148" s="38"/>
      <c r="F148"/>
      <c r="G148"/>
      <c r="H148"/>
      <c r="I148"/>
    </row>
    <row r="149" spans="2:9" ht="15">
      <c r="B149"/>
      <c r="C149"/>
      <c r="D149"/>
      <c r="E149" s="38"/>
      <c r="F149"/>
      <c r="G149"/>
      <c r="H149"/>
      <c r="I149"/>
    </row>
    <row r="150" spans="2:9" ht="15">
      <c r="B150"/>
      <c r="C150"/>
      <c r="D150"/>
      <c r="E150" s="38"/>
      <c r="F150"/>
      <c r="G150"/>
      <c r="H150"/>
      <c r="I150"/>
    </row>
    <row r="151" spans="2:9" ht="15">
      <c r="B151"/>
      <c r="C151"/>
      <c r="D151"/>
      <c r="E151" s="38"/>
      <c r="F151"/>
      <c r="G151"/>
      <c r="H151"/>
      <c r="I151"/>
    </row>
    <row r="152" spans="2:9" ht="15">
      <c r="B152"/>
      <c r="C152"/>
      <c r="D152"/>
      <c r="E152" s="38"/>
      <c r="F152"/>
      <c r="G152"/>
      <c r="H152"/>
      <c r="I152"/>
    </row>
    <row r="153" spans="2:9" ht="15">
      <c r="B153"/>
      <c r="C153"/>
      <c r="D153"/>
      <c r="E153" s="38"/>
      <c r="F153"/>
      <c r="G153"/>
      <c r="H153"/>
      <c r="I153"/>
    </row>
    <row r="154" spans="2:9" ht="15">
      <c r="B154"/>
      <c r="C154"/>
      <c r="D154"/>
      <c r="E154" s="38"/>
      <c r="F154"/>
      <c r="G154"/>
      <c r="H154"/>
      <c r="I154"/>
    </row>
    <row r="155" spans="2:9" ht="15">
      <c r="B155"/>
      <c r="C155"/>
      <c r="D155"/>
      <c r="E155" s="38"/>
      <c r="F155"/>
      <c r="G155"/>
      <c r="H155"/>
      <c r="I155"/>
    </row>
    <row r="156" spans="2:9" ht="15">
      <c r="B156"/>
      <c r="C156"/>
      <c r="D156"/>
      <c r="E156" s="38"/>
      <c r="F156"/>
      <c r="G156"/>
      <c r="H156"/>
      <c r="I156"/>
    </row>
    <row r="157" spans="2:9" ht="15">
      <c r="B157"/>
      <c r="C157"/>
      <c r="D157"/>
      <c r="E157" s="38"/>
      <c r="F157"/>
      <c r="G157"/>
      <c r="H157"/>
      <c r="I157"/>
    </row>
    <row r="158" spans="2:9" ht="15">
      <c r="B158"/>
      <c r="C158"/>
      <c r="D158"/>
      <c r="E158" s="38"/>
      <c r="F158"/>
      <c r="G158"/>
      <c r="H158"/>
      <c r="I158"/>
    </row>
    <row r="159" spans="2:9" ht="15">
      <c r="B159"/>
      <c r="C159"/>
      <c r="D159"/>
      <c r="E159" s="38"/>
      <c r="F159"/>
      <c r="G159"/>
      <c r="H159"/>
      <c r="I159"/>
    </row>
    <row r="160" spans="2:9" ht="15">
      <c r="B160"/>
      <c r="C160"/>
      <c r="D160"/>
      <c r="E160" s="38"/>
      <c r="F160"/>
      <c r="G160"/>
      <c r="H160"/>
      <c r="I160"/>
    </row>
    <row r="161" spans="2:9" ht="15">
      <c r="B161"/>
      <c r="C161"/>
      <c r="D161"/>
      <c r="E161" s="38"/>
      <c r="F161"/>
      <c r="G161"/>
      <c r="H161"/>
      <c r="I161"/>
    </row>
    <row r="162" spans="2:9" ht="15">
      <c r="B162"/>
      <c r="C162"/>
      <c r="D162"/>
      <c r="E162" s="38"/>
      <c r="F162"/>
      <c r="G162"/>
      <c r="H162"/>
      <c r="I162"/>
    </row>
    <row r="163" spans="2:9" ht="15">
      <c r="B163"/>
      <c r="C163"/>
      <c r="D163"/>
      <c r="E163" s="38"/>
      <c r="F163"/>
      <c r="G163"/>
      <c r="H163"/>
      <c r="I163"/>
    </row>
    <row r="164" spans="2:9" ht="15">
      <c r="B164"/>
      <c r="C164"/>
      <c r="D164"/>
      <c r="E164" s="38"/>
      <c r="F164"/>
      <c r="G164"/>
      <c r="H164"/>
      <c r="I164"/>
    </row>
    <row r="165" spans="2:9" ht="15">
      <c r="B165"/>
      <c r="C165"/>
      <c r="D165"/>
      <c r="E165" s="38"/>
      <c r="F165"/>
      <c r="G165"/>
      <c r="H165"/>
      <c r="I165"/>
    </row>
    <row r="166" spans="2:9" ht="15">
      <c r="B166"/>
      <c r="C166"/>
      <c r="D166"/>
      <c r="E166" s="38"/>
      <c r="F166"/>
      <c r="G166"/>
      <c r="H166"/>
      <c r="I166"/>
    </row>
    <row r="167" spans="2:9" ht="15">
      <c r="B167"/>
      <c r="C167"/>
      <c r="D167"/>
      <c r="E167" s="38"/>
      <c r="F167"/>
      <c r="G167"/>
      <c r="H167"/>
      <c r="I167"/>
    </row>
    <row r="168" spans="2:9" ht="15">
      <c r="B168"/>
      <c r="C168"/>
      <c r="D168"/>
      <c r="E168" s="38"/>
      <c r="F168"/>
      <c r="G168"/>
      <c r="H168"/>
      <c r="I168"/>
    </row>
    <row r="169" spans="2:9" ht="15">
      <c r="B169"/>
      <c r="C169"/>
      <c r="D169"/>
      <c r="E169" s="38"/>
      <c r="F169"/>
      <c r="G169"/>
      <c r="H169"/>
      <c r="I169"/>
    </row>
    <row r="170" spans="2:9" ht="15">
      <c r="B170"/>
      <c r="C170"/>
      <c r="D170"/>
      <c r="E170" s="38"/>
      <c r="F170"/>
      <c r="G170"/>
      <c r="H170"/>
      <c r="I170"/>
    </row>
    <row r="171" spans="2:9" ht="15">
      <c r="B171"/>
      <c r="C171"/>
      <c r="D171"/>
      <c r="E171" s="38"/>
      <c r="F171"/>
      <c r="G171"/>
      <c r="H171"/>
      <c r="I171"/>
    </row>
    <row r="172" spans="2:9" ht="15">
      <c r="B172"/>
      <c r="C172"/>
      <c r="D172"/>
      <c r="E172" s="38"/>
      <c r="F172"/>
      <c r="G172"/>
      <c r="H172"/>
      <c r="I172"/>
    </row>
    <row r="173" spans="2:9" ht="15">
      <c r="B173"/>
      <c r="C173"/>
      <c r="D173"/>
      <c r="E173" s="38"/>
      <c r="F173"/>
      <c r="G173"/>
      <c r="H173"/>
      <c r="I173"/>
    </row>
    <row r="174" spans="2:9" ht="15">
      <c r="B174"/>
      <c r="C174"/>
      <c r="D174"/>
      <c r="E174" s="38"/>
      <c r="F174"/>
      <c r="G174"/>
      <c r="H174"/>
      <c r="I174"/>
    </row>
    <row r="175" spans="2:9" ht="15">
      <c r="B175"/>
      <c r="C175"/>
      <c r="D175"/>
      <c r="E175" s="38"/>
      <c r="F175"/>
      <c r="G175"/>
      <c r="H175"/>
      <c r="I175"/>
    </row>
    <row r="176" spans="2:9" ht="15">
      <c r="B176"/>
      <c r="C176"/>
      <c r="D176"/>
      <c r="E176" s="38"/>
      <c r="F176"/>
      <c r="G176"/>
      <c r="H176"/>
      <c r="I176"/>
    </row>
    <row r="177" spans="2:9" ht="15">
      <c r="B177"/>
      <c r="C177"/>
      <c r="D177"/>
      <c r="E177" s="38"/>
      <c r="F177"/>
      <c r="G177"/>
      <c r="H177"/>
      <c r="I177"/>
    </row>
    <row r="178" spans="2:9" ht="15">
      <c r="B178"/>
      <c r="C178"/>
      <c r="D178"/>
      <c r="E178" s="38"/>
      <c r="F178"/>
      <c r="G178"/>
      <c r="H178"/>
      <c r="I178"/>
    </row>
    <row r="179" spans="2:9" ht="15">
      <c r="B179"/>
      <c r="C179"/>
      <c r="D179"/>
      <c r="E179" s="38"/>
      <c r="F179"/>
      <c r="G179"/>
      <c r="H179"/>
      <c r="I179"/>
    </row>
    <row r="180" spans="2:9" ht="15">
      <c r="B180"/>
      <c r="C180"/>
      <c r="D180"/>
      <c r="E180" s="38"/>
      <c r="F180"/>
      <c r="G180"/>
      <c r="H180"/>
      <c r="I180"/>
    </row>
    <row r="181" spans="2:9" ht="15">
      <c r="B181"/>
      <c r="C181"/>
      <c r="D181"/>
      <c r="E181" s="38"/>
      <c r="F181"/>
      <c r="G181"/>
      <c r="H181"/>
      <c r="I181"/>
    </row>
    <row r="182" spans="2:9" ht="15">
      <c r="B182"/>
      <c r="C182"/>
      <c r="D182"/>
      <c r="E182" s="38"/>
      <c r="F182"/>
      <c r="G182"/>
      <c r="H182"/>
      <c r="I182"/>
    </row>
    <row r="183" spans="2:9" ht="15">
      <c r="B183"/>
      <c r="C183"/>
      <c r="D183"/>
      <c r="E183" s="38"/>
      <c r="F183"/>
      <c r="G183"/>
      <c r="H183"/>
      <c r="I183"/>
    </row>
    <row r="184" spans="2:9" ht="15">
      <c r="B184"/>
      <c r="C184"/>
      <c r="D184"/>
      <c r="E184" s="38"/>
      <c r="F184"/>
      <c r="G184"/>
      <c r="H184"/>
      <c r="I184"/>
    </row>
    <row r="185" spans="2:9" ht="15">
      <c r="B185"/>
      <c r="C185"/>
      <c r="D185"/>
      <c r="E185" s="38"/>
      <c r="F185"/>
      <c r="G185"/>
      <c r="H185"/>
      <c r="I185"/>
    </row>
    <row r="186" spans="2:9" ht="15">
      <c r="B186"/>
      <c r="C186"/>
      <c r="D186"/>
      <c r="E186" s="38"/>
      <c r="F186"/>
      <c r="G186"/>
      <c r="H186"/>
      <c r="I186"/>
    </row>
    <row r="187" spans="2:9" ht="15">
      <c r="B187"/>
      <c r="C187"/>
      <c r="D187"/>
      <c r="E187" s="38"/>
      <c r="F187"/>
      <c r="G187"/>
      <c r="H187"/>
      <c r="I187"/>
    </row>
    <row r="188" spans="2:9" ht="15">
      <c r="B188"/>
      <c r="C188"/>
      <c r="D188"/>
      <c r="E188" s="38"/>
      <c r="F188"/>
      <c r="G188"/>
      <c r="H188"/>
      <c r="I188"/>
    </row>
    <row r="189" spans="2:9" ht="15">
      <c r="B189"/>
      <c r="C189"/>
      <c r="D189"/>
      <c r="E189" s="38"/>
      <c r="F189"/>
      <c r="G189"/>
      <c r="H189"/>
      <c r="I189"/>
    </row>
    <row r="190" spans="2:9" ht="15">
      <c r="B190"/>
      <c r="C190"/>
      <c r="D190"/>
      <c r="E190" s="38"/>
      <c r="F190"/>
      <c r="G190"/>
      <c r="H190"/>
      <c r="I190"/>
    </row>
    <row r="191" spans="2:9" ht="15">
      <c r="B191"/>
      <c r="C191"/>
      <c r="D191"/>
      <c r="E191" s="38"/>
      <c r="F191"/>
      <c r="G191"/>
      <c r="H191"/>
      <c r="I191"/>
    </row>
    <row r="192" spans="2:9" ht="15">
      <c r="B192"/>
      <c r="C192"/>
      <c r="D192"/>
      <c r="E192" s="38"/>
      <c r="F192"/>
      <c r="G192"/>
      <c r="H192"/>
      <c r="I192"/>
    </row>
    <row r="193" spans="2:9" ht="15">
      <c r="B193"/>
      <c r="C193"/>
      <c r="D193"/>
      <c r="E193" s="38"/>
      <c r="F193"/>
      <c r="G193"/>
      <c r="H193"/>
      <c r="I193"/>
    </row>
    <row r="194" spans="2:9" ht="15">
      <c r="B194"/>
      <c r="C194"/>
      <c r="D194"/>
      <c r="E194" s="38"/>
      <c r="F194"/>
      <c r="G194"/>
      <c r="H194"/>
      <c r="I194"/>
    </row>
    <row r="195" spans="2:9" ht="15">
      <c r="B195"/>
      <c r="C195"/>
      <c r="D195"/>
      <c r="E195" s="38"/>
      <c r="F195"/>
      <c r="G195"/>
      <c r="H195"/>
      <c r="I195"/>
    </row>
    <row r="196" spans="2:9" ht="15">
      <c r="B196"/>
      <c r="C196"/>
      <c r="D196"/>
      <c r="E196" s="38"/>
      <c r="F196"/>
      <c r="G196"/>
      <c r="H196"/>
      <c r="I196"/>
    </row>
    <row r="197" spans="2:9" ht="15">
      <c r="B197"/>
      <c r="C197"/>
      <c r="D197"/>
      <c r="E197" s="38"/>
      <c r="F197"/>
      <c r="G197"/>
      <c r="H197"/>
      <c r="I197"/>
    </row>
    <row r="198" spans="2:9" ht="15">
      <c r="B198"/>
      <c r="C198"/>
      <c r="D198"/>
      <c r="E198" s="38"/>
      <c r="F198"/>
      <c r="G198"/>
      <c r="H198"/>
      <c r="I198"/>
    </row>
    <row r="199" spans="2:9" ht="15">
      <c r="B199"/>
      <c r="C199"/>
      <c r="D199"/>
      <c r="E199" s="38"/>
      <c r="F199"/>
      <c r="G199"/>
      <c r="H199"/>
      <c r="I199"/>
    </row>
    <row r="200" spans="2:9" ht="15">
      <c r="B200"/>
      <c r="C200"/>
      <c r="D200"/>
      <c r="E200" s="38"/>
      <c r="F200"/>
      <c r="G200"/>
      <c r="H200"/>
      <c r="I200"/>
    </row>
    <row r="201" spans="2:9" ht="15">
      <c r="B201"/>
      <c r="C201"/>
      <c r="D201"/>
      <c r="E201" s="38"/>
      <c r="F201"/>
      <c r="G201"/>
      <c r="H201"/>
      <c r="I201"/>
    </row>
    <row r="202" spans="2:9" ht="15">
      <c r="B202"/>
      <c r="C202"/>
      <c r="D202"/>
      <c r="E202" s="38"/>
      <c r="F202"/>
      <c r="G202"/>
      <c r="H202"/>
      <c r="I202"/>
    </row>
    <row r="203" spans="2:9" ht="15">
      <c r="B203"/>
      <c r="C203"/>
      <c r="D203"/>
      <c r="E203" s="38"/>
      <c r="F203"/>
      <c r="G203"/>
      <c r="H203"/>
      <c r="I203"/>
    </row>
    <row r="204" spans="2:9" ht="15">
      <c r="B204"/>
      <c r="C204"/>
      <c r="D204"/>
      <c r="E204" s="38"/>
      <c r="F204"/>
      <c r="G204"/>
      <c r="H204"/>
      <c r="I204"/>
    </row>
    <row r="205" spans="2:9" ht="15">
      <c r="B205"/>
      <c r="C205"/>
      <c r="D205"/>
      <c r="E205" s="38"/>
      <c r="F205"/>
      <c r="G205"/>
      <c r="H205"/>
      <c r="I205"/>
    </row>
    <row r="206" spans="2:9" ht="15">
      <c r="B206"/>
      <c r="C206"/>
      <c r="D206"/>
      <c r="E206" s="38"/>
      <c r="F206"/>
      <c r="G206"/>
      <c r="H206"/>
      <c r="I206"/>
    </row>
    <row r="207" spans="2:9" ht="15">
      <c r="B207"/>
      <c r="C207"/>
      <c r="D207"/>
      <c r="E207" s="38"/>
      <c r="F207"/>
      <c r="G207"/>
      <c r="H207"/>
      <c r="I207"/>
    </row>
    <row r="208" spans="2:9" ht="15">
      <c r="B208"/>
      <c r="C208"/>
      <c r="D208"/>
      <c r="E208" s="38"/>
      <c r="F208"/>
      <c r="G208"/>
      <c r="H208"/>
      <c r="I208"/>
    </row>
    <row r="209" spans="2:9" ht="15">
      <c r="B209"/>
      <c r="C209"/>
      <c r="D209"/>
      <c r="E209" s="38"/>
      <c r="F209"/>
      <c r="G209"/>
      <c r="H209"/>
      <c r="I209"/>
    </row>
    <row r="210" spans="2:9" ht="15">
      <c r="B210"/>
      <c r="C210"/>
      <c r="D210"/>
      <c r="E210" s="38"/>
      <c r="F210"/>
      <c r="G210"/>
      <c r="H210"/>
      <c r="I210"/>
    </row>
    <row r="211" spans="2:9" ht="15">
      <c r="B211"/>
      <c r="C211"/>
      <c r="D211"/>
      <c r="E211" s="38"/>
      <c r="F211"/>
      <c r="G211"/>
      <c r="H211"/>
      <c r="I211"/>
    </row>
    <row r="212" spans="2:9" ht="15">
      <c r="B212"/>
      <c r="C212"/>
      <c r="D212"/>
      <c r="E212" s="38"/>
      <c r="F212"/>
      <c r="G212"/>
      <c r="H212"/>
      <c r="I212"/>
    </row>
    <row r="213" spans="2:9" ht="15">
      <c r="B213"/>
      <c r="C213"/>
      <c r="D213"/>
      <c r="E213" s="38"/>
      <c r="F213"/>
      <c r="G213"/>
      <c r="H213"/>
      <c r="I213"/>
    </row>
    <row r="214" spans="2:9" ht="15">
      <c r="B214"/>
      <c r="C214"/>
      <c r="D214"/>
      <c r="E214" s="38"/>
      <c r="F214"/>
      <c r="G214"/>
      <c r="H214"/>
      <c r="I214"/>
    </row>
    <row r="215" spans="2:9" ht="15">
      <c r="B215"/>
      <c r="C215"/>
      <c r="D215"/>
      <c r="E215" s="38"/>
      <c r="F215"/>
      <c r="G215"/>
      <c r="H215"/>
      <c r="I215"/>
    </row>
    <row r="216" spans="2:9" ht="15">
      <c r="B216"/>
      <c r="C216"/>
      <c r="D216"/>
      <c r="E216" s="38"/>
      <c r="F216"/>
      <c r="G216"/>
      <c r="H216"/>
      <c r="I216"/>
    </row>
    <row r="217" spans="2:9" ht="15">
      <c r="B217"/>
      <c r="C217"/>
      <c r="D217"/>
      <c r="E217" s="38"/>
      <c r="F217"/>
      <c r="G217"/>
      <c r="H217"/>
      <c r="I217"/>
    </row>
    <row r="218" spans="2:9" ht="15">
      <c r="B218"/>
      <c r="C218"/>
      <c r="D218"/>
      <c r="E218" s="38"/>
      <c r="F218"/>
      <c r="G218"/>
      <c r="H218"/>
      <c r="I218"/>
    </row>
    <row r="219" spans="2:9" ht="15">
      <c r="B219"/>
      <c r="C219"/>
      <c r="D219"/>
      <c r="E219" s="38"/>
      <c r="F219"/>
      <c r="G219"/>
      <c r="H219"/>
      <c r="I219"/>
    </row>
    <row r="220" spans="2:9" ht="15">
      <c r="B220"/>
      <c r="C220"/>
      <c r="D220"/>
      <c r="E220" s="38"/>
      <c r="F220"/>
      <c r="G220"/>
      <c r="H220"/>
      <c r="I220"/>
    </row>
    <row r="221" spans="2:9" ht="15">
      <c r="B221"/>
      <c r="C221"/>
      <c r="D221"/>
      <c r="E221" s="38"/>
      <c r="F221"/>
      <c r="G221"/>
      <c r="H221"/>
      <c r="I221"/>
    </row>
    <row r="222" spans="2:9" ht="15">
      <c r="B222"/>
      <c r="C222"/>
      <c r="D222"/>
      <c r="E222" s="38"/>
      <c r="F222"/>
      <c r="G222"/>
      <c r="H222"/>
      <c r="I222"/>
    </row>
    <row r="223" spans="2:9" ht="15">
      <c r="B223"/>
      <c r="C223"/>
      <c r="D223"/>
      <c r="E223" s="38"/>
      <c r="F223"/>
      <c r="G223"/>
      <c r="H223"/>
      <c r="I223"/>
    </row>
    <row r="224" spans="2:9" ht="15">
      <c r="B224"/>
      <c r="C224"/>
      <c r="D224"/>
      <c r="E224" s="38"/>
      <c r="F224"/>
      <c r="G224"/>
      <c r="H224"/>
      <c r="I224"/>
    </row>
    <row r="225" spans="2:9" ht="15">
      <c r="B225"/>
      <c r="C225"/>
      <c r="D225"/>
      <c r="E225" s="38"/>
      <c r="F225"/>
      <c r="G225"/>
      <c r="H225"/>
      <c r="I225"/>
    </row>
    <row r="226" spans="2:9" ht="15">
      <c r="B226"/>
      <c r="C226"/>
      <c r="D226"/>
      <c r="E226" s="38"/>
      <c r="F226"/>
      <c r="G226"/>
      <c r="H226"/>
      <c r="I226"/>
    </row>
    <row r="227" spans="2:9" ht="15">
      <c r="B227"/>
      <c r="C227"/>
      <c r="D227"/>
      <c r="E227" s="38"/>
      <c r="F227"/>
      <c r="G227"/>
      <c r="H227"/>
      <c r="I227"/>
    </row>
    <row r="228" spans="2:9" ht="15">
      <c r="B228"/>
      <c r="C228"/>
      <c r="D228"/>
      <c r="E228" s="38"/>
      <c r="F228"/>
      <c r="G228"/>
      <c r="H228"/>
      <c r="I228"/>
    </row>
    <row r="229" spans="2:9" ht="15">
      <c r="B229"/>
      <c r="C229"/>
      <c r="D229"/>
      <c r="E229" s="38"/>
      <c r="F229"/>
      <c r="G229"/>
      <c r="H229"/>
      <c r="I229"/>
    </row>
    <row r="230" spans="2:9" ht="15">
      <c r="B230"/>
      <c r="C230"/>
      <c r="D230"/>
      <c r="E230" s="38"/>
      <c r="F230"/>
      <c r="G230"/>
      <c r="H230"/>
      <c r="I230"/>
    </row>
    <row r="231" spans="2:9" ht="15">
      <c r="B231"/>
      <c r="C231"/>
      <c r="D231"/>
      <c r="E231" s="38"/>
      <c r="F231"/>
      <c r="G231"/>
      <c r="H231"/>
      <c r="I231"/>
    </row>
    <row r="232" spans="2:9" ht="15">
      <c r="B232"/>
      <c r="C232"/>
      <c r="D232"/>
      <c r="E232" s="38"/>
      <c r="F232"/>
      <c r="G232"/>
      <c r="H232"/>
      <c r="I232"/>
    </row>
    <row r="233" spans="2:9" ht="15">
      <c r="B233"/>
      <c r="C233"/>
      <c r="D233"/>
      <c r="E233" s="38"/>
      <c r="F233"/>
      <c r="G233"/>
      <c r="H233"/>
      <c r="I233"/>
    </row>
    <row r="234" spans="2:9" ht="15">
      <c r="B234"/>
      <c r="C234"/>
      <c r="D234"/>
      <c r="E234" s="38"/>
      <c r="F234"/>
      <c r="G234"/>
      <c r="H234"/>
      <c r="I234"/>
    </row>
    <row r="235" spans="2:9" ht="15">
      <c r="B235"/>
      <c r="C235"/>
      <c r="D235"/>
      <c r="E235" s="38"/>
      <c r="F235"/>
      <c r="G235"/>
      <c r="H235"/>
      <c r="I235"/>
    </row>
    <row r="236" spans="2:9" ht="15">
      <c r="B236"/>
      <c r="C236"/>
      <c r="D236"/>
      <c r="E236" s="38"/>
      <c r="F236"/>
      <c r="G236"/>
      <c r="H236"/>
      <c r="I236"/>
    </row>
    <row r="237" spans="2:9" ht="15">
      <c r="B237"/>
      <c r="C237"/>
      <c r="D237"/>
      <c r="E237" s="38"/>
      <c r="F237"/>
      <c r="G237"/>
      <c r="H237"/>
      <c r="I237"/>
    </row>
    <row r="238" spans="2:9" ht="15">
      <c r="B238"/>
      <c r="C238"/>
      <c r="D238"/>
      <c r="E238" s="38"/>
      <c r="F238"/>
      <c r="G238"/>
      <c r="H238"/>
      <c r="I238"/>
    </row>
    <row r="239" spans="2:9" ht="15">
      <c r="B239"/>
      <c r="C239"/>
      <c r="D239"/>
      <c r="E239" s="38"/>
      <c r="F239"/>
      <c r="G239"/>
      <c r="H239"/>
      <c r="I239"/>
    </row>
    <row r="240" spans="2:9" ht="15">
      <c r="B240"/>
      <c r="C240"/>
      <c r="D240"/>
      <c r="E240" s="38"/>
      <c r="F240"/>
      <c r="G240"/>
      <c r="H240"/>
      <c r="I240"/>
    </row>
    <row r="241" spans="2:9" ht="15">
      <c r="B241"/>
      <c r="C241"/>
      <c r="D241"/>
      <c r="E241" s="38"/>
      <c r="F241"/>
      <c r="G241"/>
      <c r="H241"/>
      <c r="I241"/>
    </row>
    <row r="242" spans="2:9" ht="15">
      <c r="B242"/>
      <c r="C242"/>
      <c r="D242"/>
      <c r="E242" s="38"/>
      <c r="F242"/>
      <c r="G242"/>
      <c r="H242"/>
      <c r="I242"/>
    </row>
    <row r="243" spans="2:9" ht="15">
      <c r="B243"/>
      <c r="C243"/>
      <c r="D243"/>
      <c r="E243" s="38"/>
      <c r="F243"/>
      <c r="G243"/>
      <c r="H243"/>
      <c r="I243"/>
    </row>
    <row r="244" spans="2:9" ht="15">
      <c r="B244"/>
      <c r="C244"/>
      <c r="D244"/>
      <c r="E244" s="38"/>
      <c r="F244"/>
      <c r="G244"/>
      <c r="H244"/>
      <c r="I244"/>
    </row>
    <row r="245" spans="2:9" ht="15">
      <c r="B245"/>
      <c r="C245"/>
      <c r="D245"/>
      <c r="E245" s="38"/>
      <c r="F245"/>
      <c r="G245"/>
      <c r="H245"/>
      <c r="I245"/>
    </row>
    <row r="246" spans="2:9" ht="15">
      <c r="B246"/>
      <c r="C246"/>
      <c r="D246"/>
      <c r="E246" s="38"/>
      <c r="F246"/>
      <c r="G246"/>
      <c r="H246"/>
      <c r="I246"/>
    </row>
    <row r="247" spans="2:9" ht="15">
      <c r="B247"/>
      <c r="C247"/>
      <c r="D247"/>
      <c r="E247" s="38"/>
      <c r="F247"/>
      <c r="G247"/>
      <c r="H247"/>
      <c r="I247"/>
    </row>
    <row r="248" spans="2:9" ht="15">
      <c r="B248"/>
      <c r="C248"/>
      <c r="D248"/>
      <c r="E248" s="38"/>
      <c r="F248"/>
      <c r="G248"/>
      <c r="H248"/>
      <c r="I248"/>
    </row>
    <row r="249" spans="2:9" ht="15">
      <c r="B249"/>
      <c r="C249"/>
      <c r="D249"/>
      <c r="E249" s="38"/>
      <c r="F249"/>
      <c r="G249"/>
      <c r="H249"/>
      <c r="I249"/>
    </row>
    <row r="250" spans="2:9" ht="15">
      <c r="B250"/>
      <c r="C250"/>
      <c r="D250"/>
      <c r="E250" s="38"/>
      <c r="F250"/>
      <c r="G250"/>
      <c r="H250"/>
      <c r="I250"/>
    </row>
    <row r="251" spans="2:9" ht="15">
      <c r="B251"/>
      <c r="C251"/>
      <c r="D251"/>
      <c r="E251" s="38"/>
      <c r="F251"/>
      <c r="G251"/>
      <c r="H251"/>
      <c r="I251"/>
    </row>
    <row r="252" spans="2:9" ht="15">
      <c r="B252"/>
      <c r="C252"/>
      <c r="D252"/>
      <c r="E252" s="38"/>
      <c r="F252"/>
      <c r="G252"/>
      <c r="H252"/>
      <c r="I252"/>
    </row>
    <row r="253" spans="2:9" ht="15">
      <c r="B253"/>
      <c r="C253"/>
      <c r="D253"/>
      <c r="E253" s="38"/>
      <c r="F253"/>
      <c r="G253"/>
      <c r="H253"/>
      <c r="I253"/>
    </row>
    <row r="254" spans="2:9" ht="15">
      <c r="B254"/>
      <c r="C254"/>
      <c r="D254"/>
      <c r="E254" s="38"/>
      <c r="F254"/>
      <c r="G254"/>
      <c r="H254"/>
      <c r="I254"/>
    </row>
    <row r="255" spans="2:9" ht="15">
      <c r="B255"/>
      <c r="C255"/>
      <c r="D255"/>
      <c r="E255" s="38"/>
      <c r="F255"/>
      <c r="G255"/>
      <c r="H255"/>
      <c r="I255"/>
    </row>
    <row r="256" spans="2:9" ht="15">
      <c r="B256"/>
      <c r="C256"/>
      <c r="D256"/>
      <c r="E256" s="38"/>
      <c r="F256"/>
      <c r="G256"/>
      <c r="H256"/>
      <c r="I256"/>
    </row>
    <row r="257" spans="2:9" ht="15">
      <c r="B257"/>
      <c r="C257"/>
      <c r="D257"/>
      <c r="E257" s="38"/>
      <c r="F257"/>
      <c r="G257"/>
      <c r="H257"/>
      <c r="I257"/>
    </row>
    <row r="258" spans="2:9" ht="15">
      <c r="B258"/>
      <c r="C258"/>
      <c r="D258"/>
      <c r="E258" s="38"/>
      <c r="F258"/>
      <c r="G258"/>
      <c r="H258"/>
      <c r="I258"/>
    </row>
    <row r="259" spans="2:9" ht="15">
      <c r="B259"/>
      <c r="C259"/>
      <c r="D259"/>
      <c r="E259" s="38"/>
      <c r="F259"/>
      <c r="G259"/>
      <c r="H259"/>
      <c r="I259"/>
    </row>
    <row r="260" spans="2:9" ht="15">
      <c r="B260"/>
      <c r="C260"/>
      <c r="D260"/>
      <c r="E260" s="38"/>
      <c r="F260"/>
      <c r="G260"/>
      <c r="H260"/>
      <c r="I260"/>
    </row>
    <row r="261" spans="2:9" ht="15">
      <c r="B261"/>
      <c r="C261"/>
      <c r="D261"/>
      <c r="E261" s="38"/>
      <c r="F261"/>
      <c r="G261"/>
      <c r="H261"/>
      <c r="I261"/>
    </row>
    <row r="262" spans="2:9" ht="15">
      <c r="B262"/>
      <c r="C262"/>
      <c r="D262"/>
      <c r="E262" s="38"/>
      <c r="F262"/>
      <c r="G262"/>
      <c r="H262"/>
      <c r="I262"/>
    </row>
    <row r="263" spans="2:9" ht="15">
      <c r="B263"/>
      <c r="C263"/>
      <c r="D263"/>
      <c r="E263" s="38"/>
      <c r="F263"/>
      <c r="G263"/>
      <c r="H263"/>
      <c r="I263"/>
    </row>
    <row r="264" spans="2:9" ht="15">
      <c r="B264"/>
      <c r="C264"/>
      <c r="D264"/>
      <c r="E264" s="38"/>
      <c r="F264"/>
      <c r="G264"/>
      <c r="H264"/>
      <c r="I264"/>
    </row>
    <row r="265" spans="2:9" ht="15">
      <c r="B265"/>
      <c r="C265"/>
      <c r="D265"/>
      <c r="E265" s="38"/>
      <c r="F265"/>
      <c r="G265"/>
      <c r="H265"/>
      <c r="I265"/>
    </row>
    <row r="266" spans="2:9" ht="15">
      <c r="B266"/>
      <c r="C266"/>
      <c r="D266"/>
      <c r="E266" s="38"/>
      <c r="F266"/>
      <c r="G266"/>
      <c r="H266"/>
      <c r="I266"/>
    </row>
    <row r="267" spans="2:9" ht="15">
      <c r="B267"/>
      <c r="C267"/>
      <c r="D267"/>
      <c r="E267" s="38"/>
      <c r="F267"/>
      <c r="G267"/>
      <c r="H267"/>
      <c r="I267"/>
    </row>
    <row r="268" spans="2:9" ht="15">
      <c r="B268"/>
      <c r="C268"/>
      <c r="D268"/>
      <c r="E268" s="38"/>
      <c r="F268"/>
      <c r="G268"/>
      <c r="H268"/>
      <c r="I268"/>
    </row>
    <row r="269" spans="2:9" ht="15">
      <c r="B269"/>
      <c r="C269"/>
      <c r="D269"/>
      <c r="E269" s="38"/>
      <c r="F269"/>
      <c r="G269"/>
      <c r="H269"/>
      <c r="I269"/>
    </row>
    <row r="270" spans="2:9" ht="15">
      <c r="B270"/>
      <c r="C270"/>
      <c r="D270"/>
      <c r="E270" s="38"/>
      <c r="F270"/>
      <c r="G270"/>
      <c r="H270"/>
      <c r="I270"/>
    </row>
    <row r="271" spans="2:9" ht="15">
      <c r="B271"/>
      <c r="C271"/>
      <c r="D271"/>
      <c r="E271" s="38"/>
      <c r="F271"/>
      <c r="G271"/>
      <c r="H271"/>
      <c r="I271"/>
    </row>
    <row r="272" spans="2:9" ht="15">
      <c r="B272"/>
      <c r="C272"/>
      <c r="D272"/>
      <c r="E272" s="38"/>
      <c r="F272"/>
      <c r="G272"/>
      <c r="H272"/>
      <c r="I272"/>
    </row>
    <row r="273" spans="2:9" ht="15">
      <c r="B273"/>
      <c r="C273"/>
      <c r="D273"/>
      <c r="E273" s="38"/>
      <c r="F273"/>
      <c r="G273"/>
      <c r="H273"/>
      <c r="I273"/>
    </row>
    <row r="274" spans="2:9" ht="15">
      <c r="B274"/>
      <c r="C274"/>
      <c r="D274"/>
      <c r="E274" s="38"/>
      <c r="F274"/>
      <c r="G274"/>
      <c r="H274"/>
      <c r="I274"/>
    </row>
    <row r="275" spans="2:9" ht="15">
      <c r="B275"/>
      <c r="C275"/>
      <c r="D275"/>
      <c r="E275" s="38"/>
      <c r="F275"/>
      <c r="G275"/>
      <c r="H275"/>
      <c r="I275"/>
    </row>
    <row r="276" spans="2:9" ht="15">
      <c r="B276"/>
      <c r="C276"/>
      <c r="D276"/>
      <c r="E276" s="38"/>
      <c r="F276"/>
      <c r="G276"/>
      <c r="H276"/>
      <c r="I276"/>
    </row>
    <row r="277" spans="2:9" ht="15">
      <c r="B277"/>
      <c r="C277"/>
      <c r="D277"/>
      <c r="E277" s="38"/>
      <c r="F277"/>
      <c r="G277"/>
      <c r="H277"/>
      <c r="I277"/>
    </row>
    <row r="278" spans="2:9" ht="15">
      <c r="B278"/>
      <c r="C278"/>
      <c r="D278"/>
      <c r="E278" s="38"/>
      <c r="F278"/>
      <c r="G278"/>
      <c r="H278"/>
      <c r="I278"/>
    </row>
    <row r="279" spans="2:9" ht="15">
      <c r="B279"/>
      <c r="C279"/>
      <c r="D279"/>
      <c r="E279" s="38"/>
      <c r="F279"/>
      <c r="G279"/>
      <c r="H279"/>
      <c r="I279"/>
    </row>
    <row r="280" spans="2:9" ht="15">
      <c r="B280"/>
      <c r="C280"/>
      <c r="D280"/>
      <c r="E280" s="38"/>
      <c r="F280"/>
      <c r="G280"/>
      <c r="H280"/>
      <c r="I280"/>
    </row>
    <row r="281" spans="2:9" ht="15">
      <c r="B281"/>
      <c r="C281"/>
      <c r="D281"/>
      <c r="E281" s="38"/>
      <c r="F281"/>
      <c r="G281"/>
      <c r="H281"/>
      <c r="I281"/>
    </row>
    <row r="282" spans="2:9" ht="15">
      <c r="B282"/>
      <c r="C282"/>
      <c r="D282"/>
      <c r="E282" s="38"/>
      <c r="F282"/>
      <c r="G282"/>
      <c r="H282"/>
      <c r="I282"/>
    </row>
    <row r="283" spans="2:9" ht="15">
      <c r="B283"/>
      <c r="C283"/>
      <c r="D283"/>
      <c r="E283" s="38"/>
      <c r="F283"/>
      <c r="G283"/>
      <c r="H283"/>
      <c r="I283"/>
    </row>
    <row r="284" spans="2:9" ht="15">
      <c r="B284"/>
      <c r="C284"/>
      <c r="D284"/>
      <c r="E284" s="38"/>
      <c r="F284"/>
      <c r="G284"/>
      <c r="H284"/>
      <c r="I284"/>
    </row>
    <row r="285" spans="2:9" ht="15">
      <c r="B285"/>
      <c r="C285"/>
      <c r="D285"/>
      <c r="E285" s="38"/>
      <c r="F285"/>
      <c r="G285"/>
      <c r="H285"/>
      <c r="I285"/>
    </row>
    <row r="286" spans="2:9" ht="15">
      <c r="B286"/>
      <c r="C286"/>
      <c r="D286"/>
      <c r="E286" s="38"/>
      <c r="F286"/>
      <c r="G286"/>
      <c r="H286"/>
      <c r="I286"/>
    </row>
    <row r="287" spans="2:9" ht="15">
      <c r="B287"/>
      <c r="C287"/>
      <c r="D287"/>
      <c r="E287" s="38"/>
      <c r="F287"/>
      <c r="G287"/>
      <c r="H287"/>
      <c r="I287"/>
    </row>
    <row r="288" spans="2:9" ht="15">
      <c r="B288"/>
      <c r="C288"/>
      <c r="D288"/>
      <c r="E288" s="38"/>
      <c r="F288"/>
      <c r="G288"/>
      <c r="H288"/>
      <c r="I288"/>
    </row>
    <row r="289" spans="2:9" ht="15">
      <c r="B289"/>
      <c r="C289"/>
      <c r="D289"/>
      <c r="E289" s="38"/>
      <c r="F289"/>
      <c r="G289"/>
      <c r="H289"/>
      <c r="I289"/>
    </row>
    <row r="290" spans="2:9" ht="15">
      <c r="B290"/>
      <c r="C290"/>
      <c r="D290"/>
      <c r="E290" s="38"/>
      <c r="F290"/>
      <c r="G290"/>
      <c r="H290"/>
      <c r="I290"/>
    </row>
    <row r="291" spans="2:9" ht="15">
      <c r="B291"/>
      <c r="C291"/>
      <c r="D291"/>
      <c r="E291" s="38"/>
      <c r="F291"/>
      <c r="G291"/>
      <c r="H291"/>
      <c r="I291"/>
    </row>
    <row r="292" spans="2:9" ht="15">
      <c r="B292"/>
      <c r="C292"/>
      <c r="D292"/>
      <c r="E292" s="38"/>
      <c r="F292"/>
      <c r="G292"/>
      <c r="H292"/>
      <c r="I292"/>
    </row>
    <row r="293" spans="2:9" ht="15">
      <c r="B293"/>
      <c r="C293"/>
      <c r="D293"/>
      <c r="E293" s="38"/>
      <c r="F293"/>
      <c r="G293"/>
      <c r="H293"/>
      <c r="I293"/>
    </row>
    <row r="294" spans="2:9" ht="15">
      <c r="B294"/>
      <c r="C294"/>
      <c r="D294"/>
      <c r="E294" s="38"/>
      <c r="F294"/>
      <c r="G294"/>
      <c r="H294"/>
      <c r="I294"/>
    </row>
    <row r="295" spans="2:9" ht="15">
      <c r="B295"/>
      <c r="C295"/>
      <c r="D295"/>
      <c r="E295" s="38"/>
      <c r="F295"/>
      <c r="G295"/>
      <c r="H295"/>
      <c r="I295"/>
    </row>
    <row r="296" spans="2:9" ht="15">
      <c r="B296"/>
      <c r="C296"/>
      <c r="D296"/>
      <c r="E296" s="38"/>
      <c r="F296"/>
      <c r="G296"/>
      <c r="H296"/>
      <c r="I296"/>
    </row>
    <row r="297" spans="2:9" ht="15">
      <c r="B297"/>
      <c r="C297"/>
      <c r="D297"/>
      <c r="E297" s="38"/>
      <c r="F297"/>
      <c r="G297"/>
      <c r="H297"/>
      <c r="I297"/>
    </row>
    <row r="298" spans="2:9" ht="15">
      <c r="B298"/>
      <c r="C298"/>
      <c r="D298"/>
      <c r="E298" s="38"/>
      <c r="F298"/>
      <c r="G298"/>
      <c r="H298"/>
      <c r="I298"/>
    </row>
    <row r="299" spans="2:9" ht="15">
      <c r="B299"/>
      <c r="C299"/>
      <c r="D299"/>
      <c r="E299" s="38"/>
      <c r="F299"/>
      <c r="G299"/>
      <c r="H299"/>
      <c r="I299"/>
    </row>
    <row r="300" spans="2:9" ht="15">
      <c r="B300"/>
      <c r="C300"/>
      <c r="D300"/>
      <c r="E300" s="38"/>
      <c r="F300"/>
      <c r="G300"/>
      <c r="H300"/>
      <c r="I300"/>
    </row>
    <row r="301" spans="2:9" ht="15">
      <c r="B301"/>
      <c r="C301"/>
      <c r="D301"/>
      <c r="E301" s="38"/>
      <c r="F301"/>
      <c r="G301"/>
      <c r="H301"/>
      <c r="I301"/>
    </row>
    <row r="302" spans="2:9" ht="15">
      <c r="B302"/>
      <c r="C302"/>
      <c r="D302"/>
      <c r="E302" s="38"/>
      <c r="F302"/>
      <c r="G302"/>
      <c r="H302"/>
      <c r="I302"/>
    </row>
    <row r="303" spans="2:9" ht="15">
      <c r="B303"/>
      <c r="C303"/>
      <c r="D303"/>
      <c r="E303" s="38"/>
      <c r="F303"/>
      <c r="G303"/>
      <c r="H303"/>
      <c r="I303"/>
    </row>
    <row r="304" spans="2:9" ht="15">
      <c r="B304"/>
      <c r="C304"/>
      <c r="D304"/>
      <c r="E304" s="38"/>
      <c r="F304"/>
      <c r="G304"/>
      <c r="H304"/>
      <c r="I304"/>
    </row>
    <row r="305" spans="2:9" ht="15">
      <c r="B305"/>
      <c r="C305"/>
      <c r="D305"/>
      <c r="E305" s="38"/>
      <c r="F305"/>
      <c r="G305"/>
      <c r="H305"/>
      <c r="I305"/>
    </row>
    <row r="306" spans="2:9" ht="15">
      <c r="B306"/>
      <c r="C306"/>
      <c r="D306"/>
      <c r="E306" s="38"/>
      <c r="F306"/>
      <c r="G306"/>
      <c r="H306"/>
      <c r="I306"/>
    </row>
    <row r="307" spans="2:9" ht="15">
      <c r="B307"/>
      <c r="C307"/>
      <c r="D307"/>
      <c r="E307" s="38"/>
      <c r="F307"/>
      <c r="G307"/>
      <c r="H307"/>
      <c r="I307"/>
    </row>
    <row r="308" spans="2:9" ht="15">
      <c r="B308"/>
      <c r="C308"/>
      <c r="D308"/>
      <c r="E308" s="38"/>
      <c r="F308"/>
      <c r="G308"/>
      <c r="H308"/>
      <c r="I308"/>
    </row>
    <row r="309" spans="2:9" ht="15">
      <c r="B309"/>
      <c r="C309"/>
      <c r="D309"/>
      <c r="E309" s="38"/>
      <c r="F309"/>
      <c r="G309"/>
      <c r="H309"/>
      <c r="I309"/>
    </row>
    <row r="310" spans="2:9" ht="15">
      <c r="B310"/>
      <c r="C310"/>
      <c r="D310"/>
      <c r="E310" s="38"/>
      <c r="F310"/>
      <c r="G310"/>
      <c r="H310"/>
      <c r="I310"/>
    </row>
    <row r="311" spans="2:9" ht="15">
      <c r="B311"/>
      <c r="C311"/>
      <c r="D311"/>
      <c r="E311" s="38"/>
      <c r="F311"/>
      <c r="G311"/>
      <c r="H311"/>
      <c r="I311"/>
    </row>
    <row r="312" spans="2:9" ht="15">
      <c r="B312"/>
      <c r="C312"/>
      <c r="D312"/>
      <c r="E312" s="38"/>
      <c r="F312"/>
      <c r="G312"/>
      <c r="H312"/>
      <c r="I312"/>
    </row>
    <row r="313" spans="2:9" ht="15">
      <c r="B313"/>
      <c r="C313"/>
      <c r="D313"/>
      <c r="E313" s="38"/>
      <c r="F313"/>
      <c r="G313"/>
      <c r="H313"/>
      <c r="I313"/>
    </row>
    <row r="314" spans="2:9" ht="15">
      <c r="B314"/>
      <c r="C314"/>
      <c r="D314"/>
      <c r="E314" s="38"/>
      <c r="F314"/>
      <c r="G314"/>
      <c r="H314"/>
      <c r="I314"/>
    </row>
    <row r="315" spans="2:9" ht="15">
      <c r="B315"/>
      <c r="C315"/>
      <c r="D315"/>
      <c r="E315" s="38"/>
      <c r="F315"/>
      <c r="G315"/>
      <c r="H315"/>
      <c r="I315"/>
    </row>
    <row r="316" spans="2:9" ht="15">
      <c r="B316"/>
      <c r="C316"/>
      <c r="D316"/>
      <c r="E316" s="38"/>
      <c r="F316"/>
      <c r="G316"/>
      <c r="H316"/>
      <c r="I316"/>
    </row>
    <row r="317" spans="2:9" ht="15">
      <c r="B317"/>
      <c r="C317"/>
      <c r="D317"/>
      <c r="E317" s="38"/>
      <c r="F317"/>
      <c r="G317"/>
      <c r="H317"/>
      <c r="I317"/>
    </row>
    <row r="318" spans="2:9" ht="15">
      <c r="B318"/>
      <c r="C318"/>
      <c r="D318"/>
      <c r="E318" s="38"/>
      <c r="F318"/>
      <c r="G318"/>
      <c r="H318"/>
      <c r="I318"/>
    </row>
    <row r="319" spans="2:9" ht="15">
      <c r="B319"/>
      <c r="C319"/>
      <c r="D319"/>
      <c r="E319" s="38"/>
      <c r="F319"/>
      <c r="G319"/>
      <c r="H319"/>
      <c r="I319"/>
    </row>
    <row r="320" spans="2:9" ht="15">
      <c r="B320"/>
      <c r="C320"/>
      <c r="D320"/>
      <c r="E320" s="38"/>
      <c r="F320"/>
      <c r="G320"/>
      <c r="H320"/>
      <c r="I320"/>
    </row>
    <row r="321" spans="2:9" ht="15">
      <c r="B321"/>
      <c r="C321"/>
      <c r="D321"/>
      <c r="E321" s="38"/>
      <c r="F321"/>
      <c r="G321"/>
      <c r="H321"/>
      <c r="I321"/>
    </row>
    <row r="322" spans="2:9" ht="15">
      <c r="B322"/>
      <c r="C322"/>
      <c r="D322"/>
      <c r="E322" s="38"/>
      <c r="F322"/>
      <c r="G322"/>
      <c r="H322"/>
      <c r="I322"/>
    </row>
    <row r="323" spans="2:9" ht="15">
      <c r="B323"/>
      <c r="C323"/>
      <c r="D323"/>
      <c r="E323" s="38"/>
      <c r="F323"/>
      <c r="G323"/>
      <c r="H323"/>
      <c r="I323"/>
    </row>
    <row r="324" spans="2:9" ht="15">
      <c r="B324"/>
      <c r="C324"/>
      <c r="D324"/>
      <c r="E324" s="38"/>
      <c r="F324"/>
      <c r="G324"/>
      <c r="H324"/>
      <c r="I324"/>
    </row>
    <row r="325" spans="2:9" ht="15">
      <c r="B325"/>
      <c r="C325"/>
      <c r="D325"/>
      <c r="E325" s="38"/>
      <c r="F325"/>
      <c r="G325"/>
      <c r="H325"/>
      <c r="I325"/>
    </row>
    <row r="326" spans="2:9" ht="15">
      <c r="B326"/>
      <c r="C326"/>
      <c r="D326"/>
      <c r="E326" s="38"/>
      <c r="F326"/>
      <c r="G326"/>
      <c r="H326"/>
      <c r="I326"/>
    </row>
    <row r="327" spans="2:9" ht="15">
      <c r="B327"/>
      <c r="C327"/>
      <c r="D327"/>
      <c r="E327" s="38"/>
      <c r="F327"/>
      <c r="G327"/>
      <c r="H327"/>
      <c r="I327"/>
    </row>
    <row r="328" spans="2:9" ht="15">
      <c r="B328"/>
      <c r="C328"/>
      <c r="D328"/>
      <c r="E328" s="38"/>
      <c r="F328"/>
      <c r="G328"/>
      <c r="H328"/>
      <c r="I328"/>
    </row>
    <row r="329" spans="2:9" ht="15">
      <c r="B329"/>
      <c r="C329"/>
      <c r="D329"/>
      <c r="E329" s="38"/>
      <c r="F329"/>
      <c r="G329"/>
      <c r="H329"/>
      <c r="I329"/>
    </row>
    <row r="330" spans="2:9" ht="15">
      <c r="B330"/>
      <c r="C330"/>
      <c r="D330"/>
      <c r="E330" s="38"/>
      <c r="F330"/>
      <c r="G330"/>
      <c r="H330"/>
      <c r="I330"/>
    </row>
    <row r="331" spans="2:9" ht="15">
      <c r="B331"/>
      <c r="C331"/>
      <c r="D331"/>
      <c r="E331" s="38"/>
      <c r="F331"/>
      <c r="G331"/>
      <c r="H331"/>
      <c r="I331"/>
    </row>
    <row r="332" spans="2:9" ht="15">
      <c r="B332"/>
      <c r="C332"/>
      <c r="D332"/>
      <c r="E332" s="38"/>
      <c r="F332"/>
      <c r="G332"/>
      <c r="H332"/>
      <c r="I332"/>
    </row>
    <row r="333" spans="2:9" ht="15">
      <c r="B333"/>
      <c r="C333"/>
      <c r="D333"/>
      <c r="E333" s="38"/>
      <c r="F333"/>
      <c r="G333"/>
      <c r="H333"/>
      <c r="I333"/>
    </row>
    <row r="334" spans="2:9" ht="15">
      <c r="B334"/>
      <c r="C334"/>
      <c r="D334"/>
      <c r="E334" s="38"/>
      <c r="F334"/>
      <c r="G334"/>
      <c r="H334"/>
      <c r="I334"/>
    </row>
    <row r="335" spans="2:9" ht="15">
      <c r="B335"/>
      <c r="C335"/>
      <c r="D335"/>
      <c r="E335" s="38"/>
      <c r="F335"/>
      <c r="G335"/>
      <c r="H335"/>
      <c r="I335"/>
    </row>
    <row r="336" spans="2:9" ht="15">
      <c r="B336"/>
      <c r="C336"/>
      <c r="D336"/>
      <c r="E336" s="38"/>
      <c r="F336"/>
      <c r="G336"/>
      <c r="H336"/>
      <c r="I336"/>
    </row>
    <row r="337" spans="2:9" ht="15">
      <c r="B337"/>
      <c r="C337"/>
      <c r="D337"/>
      <c r="E337" s="38"/>
      <c r="F337"/>
      <c r="G337"/>
      <c r="H337"/>
      <c r="I337"/>
    </row>
    <row r="338" spans="2:9" ht="15">
      <c r="B338"/>
      <c r="C338"/>
      <c r="D338"/>
      <c r="E338" s="38"/>
      <c r="F338"/>
      <c r="G338"/>
      <c r="H338"/>
      <c r="I338"/>
    </row>
    <row r="339" spans="2:9" ht="15">
      <c r="B339"/>
      <c r="C339"/>
      <c r="D339"/>
      <c r="E339" s="38"/>
      <c r="F339"/>
      <c r="G339"/>
      <c r="H339"/>
      <c r="I339"/>
    </row>
    <row r="340" spans="2:9" ht="15">
      <c r="B340"/>
      <c r="C340"/>
      <c r="D340"/>
      <c r="E340" s="38"/>
      <c r="F340"/>
      <c r="G340"/>
      <c r="H340"/>
      <c r="I340"/>
    </row>
    <row r="341" spans="2:9" ht="15">
      <c r="B341"/>
      <c r="C341"/>
      <c r="D341"/>
      <c r="E341" s="38"/>
      <c r="F341"/>
      <c r="G341"/>
      <c r="H341"/>
      <c r="I341"/>
    </row>
    <row r="342" spans="2:9" ht="15">
      <c r="B342"/>
      <c r="C342"/>
      <c r="D342"/>
      <c r="E342" s="38"/>
      <c r="F342"/>
      <c r="G342"/>
      <c r="H342"/>
      <c r="I342"/>
    </row>
    <row r="343" spans="2:9" ht="15">
      <c r="B343"/>
      <c r="C343"/>
      <c r="D343"/>
      <c r="E343" s="38"/>
      <c r="F343"/>
      <c r="G343"/>
      <c r="H343"/>
      <c r="I343"/>
    </row>
    <row r="344" spans="2:9" ht="15">
      <c r="B344"/>
      <c r="C344"/>
      <c r="D344"/>
      <c r="E344" s="38"/>
      <c r="F344"/>
      <c r="G344"/>
      <c r="H344"/>
      <c r="I344"/>
    </row>
    <row r="345" spans="2:9" ht="15">
      <c r="B345"/>
      <c r="C345"/>
      <c r="D345"/>
      <c r="E345" s="38"/>
      <c r="F345"/>
      <c r="G345"/>
      <c r="H345"/>
      <c r="I345"/>
    </row>
    <row r="346" spans="2:9" ht="15">
      <c r="B346"/>
      <c r="C346"/>
      <c r="D346"/>
      <c r="E346" s="38"/>
      <c r="F346"/>
      <c r="G346"/>
      <c r="H346"/>
      <c r="I346"/>
    </row>
    <row r="347" spans="2:9" ht="15">
      <c r="B347"/>
      <c r="C347"/>
      <c r="D347"/>
      <c r="E347" s="38"/>
      <c r="F347"/>
      <c r="G347"/>
      <c r="H347"/>
      <c r="I347"/>
    </row>
    <row r="348" spans="2:9" ht="15">
      <c r="B348"/>
      <c r="C348"/>
      <c r="D348"/>
      <c r="E348" s="38"/>
      <c r="F348"/>
      <c r="G348"/>
      <c r="H348"/>
      <c r="I348"/>
    </row>
    <row r="349" spans="2:9" ht="15">
      <c r="B349"/>
      <c r="C349"/>
      <c r="D349"/>
      <c r="E349" s="38"/>
      <c r="F349"/>
      <c r="G349"/>
      <c r="H349"/>
      <c r="I349"/>
    </row>
    <row r="350" spans="2:9" ht="15">
      <c r="B350"/>
      <c r="C350"/>
      <c r="D350"/>
      <c r="E350" s="38"/>
      <c r="F350"/>
      <c r="G350"/>
      <c r="H350"/>
      <c r="I350"/>
    </row>
    <row r="351" spans="2:9" ht="15">
      <c r="B351"/>
      <c r="C351"/>
      <c r="D351"/>
      <c r="E351" s="38"/>
      <c r="F351"/>
      <c r="G351"/>
      <c r="H351"/>
      <c r="I351"/>
    </row>
    <row r="352" spans="2:9" ht="15">
      <c r="B352"/>
      <c r="C352"/>
      <c r="D352"/>
      <c r="E352" s="38"/>
      <c r="F352"/>
      <c r="G352"/>
      <c r="H352"/>
      <c r="I352"/>
    </row>
    <row r="353" spans="2:9" ht="15">
      <c r="B353"/>
      <c r="C353"/>
      <c r="D353"/>
      <c r="E353" s="38"/>
      <c r="F353"/>
      <c r="G353"/>
      <c r="H353"/>
      <c r="I353"/>
    </row>
    <row r="354" spans="2:9" ht="15">
      <c r="B354"/>
      <c r="C354"/>
      <c r="D354"/>
      <c r="E354" s="38"/>
      <c r="F354"/>
      <c r="G354"/>
      <c r="H354"/>
      <c r="I354"/>
    </row>
    <row r="355" spans="2:9" ht="15">
      <c r="B355"/>
      <c r="C355"/>
      <c r="D355"/>
      <c r="E355" s="38"/>
      <c r="F355"/>
      <c r="G355"/>
      <c r="H355"/>
      <c r="I355"/>
    </row>
    <row r="356" spans="2:9" ht="15">
      <c r="B356"/>
      <c r="C356"/>
      <c r="D356"/>
      <c r="E356" s="38"/>
      <c r="F356"/>
      <c r="G356"/>
      <c r="H356"/>
      <c r="I356"/>
    </row>
    <row r="357" spans="2:9" ht="15">
      <c r="B357"/>
      <c r="C357"/>
      <c r="D357"/>
      <c r="E357" s="38"/>
      <c r="F357"/>
      <c r="G357"/>
      <c r="H357"/>
      <c r="I357"/>
    </row>
    <row r="358" spans="2:9" ht="15">
      <c r="B358"/>
      <c r="C358"/>
      <c r="D358"/>
      <c r="E358" s="38"/>
      <c r="F358"/>
      <c r="G358"/>
      <c r="H358"/>
      <c r="I358"/>
    </row>
    <row r="359" spans="2:9" ht="15">
      <c r="B359"/>
      <c r="C359"/>
      <c r="D359"/>
      <c r="E359" s="38"/>
      <c r="F359"/>
      <c r="G359"/>
      <c r="H359"/>
      <c r="I359"/>
    </row>
    <row r="360" spans="2:9" ht="15">
      <c r="B360"/>
      <c r="C360"/>
      <c r="D360"/>
      <c r="E360" s="38"/>
      <c r="F360"/>
      <c r="G360"/>
      <c r="H360"/>
      <c r="I360"/>
    </row>
    <row r="361" spans="2:9" ht="15">
      <c r="B361"/>
      <c r="C361"/>
      <c r="D361"/>
      <c r="E361" s="38"/>
      <c r="F361"/>
      <c r="G361"/>
      <c r="H361"/>
      <c r="I361"/>
    </row>
    <row r="362" spans="2:9" ht="15">
      <c r="B362"/>
      <c r="C362"/>
      <c r="D362"/>
      <c r="E362" s="38"/>
      <c r="F362"/>
      <c r="G362"/>
      <c r="H362"/>
      <c r="I362"/>
    </row>
    <row r="363" spans="2:9" ht="15">
      <c r="B363"/>
      <c r="C363"/>
      <c r="D363"/>
      <c r="E363" s="38"/>
      <c r="F363"/>
      <c r="G363"/>
      <c r="H363"/>
      <c r="I363"/>
    </row>
    <row r="364" spans="2:9" ht="15">
      <c r="B364"/>
      <c r="C364"/>
      <c r="D364"/>
      <c r="E364" s="38"/>
      <c r="F364"/>
      <c r="G364"/>
      <c r="H364"/>
      <c r="I364"/>
    </row>
    <row r="365" spans="2:9" ht="15">
      <c r="B365"/>
      <c r="C365"/>
      <c r="D365"/>
      <c r="E365" s="38"/>
      <c r="F365"/>
      <c r="G365"/>
      <c r="H365"/>
      <c r="I365"/>
    </row>
    <row r="366" spans="2:9" ht="15">
      <c r="B366"/>
      <c r="C366"/>
      <c r="D366"/>
      <c r="E366" s="38"/>
      <c r="F366"/>
      <c r="G366"/>
      <c r="H366"/>
      <c r="I366"/>
    </row>
    <row r="367" spans="2:9" ht="15">
      <c r="B367"/>
      <c r="C367"/>
      <c r="D367"/>
      <c r="E367" s="38"/>
      <c r="F367"/>
      <c r="G367"/>
      <c r="H367"/>
      <c r="I367"/>
    </row>
    <row r="368" spans="2:9" ht="15">
      <c r="B368"/>
      <c r="C368"/>
      <c r="D368"/>
      <c r="E368" s="38"/>
      <c r="F368"/>
      <c r="G368"/>
      <c r="H368"/>
      <c r="I368"/>
    </row>
    <row r="369" spans="2:9" ht="15">
      <c r="B369"/>
      <c r="C369"/>
      <c r="D369"/>
      <c r="E369" s="38"/>
      <c r="F369"/>
      <c r="G369"/>
      <c r="H369"/>
      <c r="I369"/>
    </row>
    <row r="370" spans="2:9" ht="15">
      <c r="B370"/>
      <c r="C370"/>
      <c r="D370"/>
      <c r="E370" s="38"/>
      <c r="F370"/>
      <c r="G370"/>
      <c r="H370"/>
      <c r="I370"/>
    </row>
    <row r="371" spans="2:9" ht="15">
      <c r="B371"/>
      <c r="C371"/>
      <c r="D371"/>
      <c r="E371" s="38"/>
      <c r="F371"/>
      <c r="G371"/>
      <c r="H371"/>
      <c r="I371"/>
    </row>
    <row r="372" spans="2:9" ht="15">
      <c r="B372"/>
      <c r="C372"/>
      <c r="D372"/>
      <c r="E372" s="38"/>
      <c r="F372"/>
      <c r="G372"/>
      <c r="H372"/>
      <c r="I372"/>
    </row>
    <row r="373" spans="2:9" ht="15">
      <c r="B373"/>
      <c r="C373"/>
      <c r="D373"/>
      <c r="E373" s="38"/>
      <c r="F373"/>
      <c r="G373"/>
      <c r="H373"/>
      <c r="I373"/>
    </row>
    <row r="374" spans="2:9" ht="15">
      <c r="B374"/>
      <c r="C374"/>
      <c r="D374"/>
      <c r="E374" s="38"/>
      <c r="F374"/>
      <c r="G374"/>
      <c r="H374"/>
      <c r="I374"/>
    </row>
    <row r="375" spans="2:9" ht="15">
      <c r="B375"/>
      <c r="C375"/>
      <c r="D375"/>
      <c r="E375" s="38"/>
      <c r="F375"/>
      <c r="G375"/>
      <c r="H375"/>
      <c r="I375"/>
    </row>
    <row r="376" spans="2:9" ht="15">
      <c r="B376"/>
      <c r="C376"/>
      <c r="D376"/>
      <c r="E376" s="38"/>
      <c r="F376"/>
      <c r="G376"/>
      <c r="H376"/>
      <c r="I376"/>
    </row>
    <row r="377" spans="2:9" ht="15">
      <c r="B377"/>
      <c r="C377"/>
      <c r="D377"/>
      <c r="E377" s="38"/>
      <c r="F377"/>
      <c r="G377"/>
      <c r="H377"/>
      <c r="I377"/>
    </row>
    <row r="378" spans="2:9" ht="15">
      <c r="B378"/>
      <c r="C378"/>
      <c r="D378"/>
      <c r="E378" s="38"/>
      <c r="F378"/>
      <c r="G378"/>
      <c r="H378"/>
      <c r="I378"/>
    </row>
    <row r="379" spans="2:9" ht="15">
      <c r="B379"/>
      <c r="C379"/>
      <c r="D379"/>
      <c r="E379" s="38"/>
      <c r="F379"/>
      <c r="G379"/>
      <c r="H379"/>
      <c r="I379"/>
    </row>
    <row r="380" spans="2:9" ht="15">
      <c r="B380"/>
      <c r="C380"/>
      <c r="D380"/>
      <c r="E380" s="38"/>
      <c r="F380"/>
      <c r="G380"/>
      <c r="H380"/>
      <c r="I380"/>
    </row>
    <row r="381" spans="2:9" ht="15">
      <c r="B381"/>
      <c r="C381"/>
      <c r="D381"/>
      <c r="E381" s="38"/>
      <c r="F381"/>
      <c r="G381"/>
      <c r="H381"/>
      <c r="I381"/>
    </row>
    <row r="382" spans="2:9" ht="15">
      <c r="B382"/>
      <c r="C382"/>
      <c r="D382"/>
      <c r="E382" s="38"/>
      <c r="F382"/>
      <c r="G382"/>
      <c r="H382"/>
      <c r="I382"/>
    </row>
    <row r="383" spans="2:9" ht="15">
      <c r="B383"/>
      <c r="C383"/>
      <c r="D383"/>
      <c r="E383" s="38"/>
      <c r="F383"/>
      <c r="G383"/>
      <c r="H383"/>
      <c r="I383"/>
    </row>
    <row r="384" spans="2:9" ht="15">
      <c r="B384"/>
      <c r="C384"/>
      <c r="D384"/>
      <c r="E384" s="38"/>
      <c r="F384"/>
      <c r="G384"/>
      <c r="H384"/>
      <c r="I384"/>
    </row>
    <row r="385" spans="2:9" ht="15">
      <c r="B385"/>
      <c r="C385"/>
      <c r="D385"/>
      <c r="E385" s="38"/>
      <c r="F385"/>
      <c r="G385"/>
      <c r="H385"/>
      <c r="I385"/>
    </row>
    <row r="386" spans="2:9" ht="15">
      <c r="B386"/>
      <c r="C386"/>
      <c r="D386"/>
      <c r="E386" s="38"/>
      <c r="F386"/>
      <c r="G386"/>
      <c r="H386"/>
      <c r="I386"/>
    </row>
    <row r="387" spans="2:9" ht="15">
      <c r="B387"/>
      <c r="C387"/>
      <c r="D387"/>
      <c r="E387" s="38"/>
      <c r="F387"/>
      <c r="G387"/>
      <c r="H387"/>
      <c r="I387"/>
    </row>
    <row r="388" spans="2:9" ht="15">
      <c r="B388"/>
      <c r="C388"/>
      <c r="D388"/>
      <c r="E388" s="38"/>
      <c r="F388"/>
      <c r="G388"/>
      <c r="H388"/>
      <c r="I388"/>
    </row>
    <row r="389" spans="2:9" ht="15">
      <c r="B389"/>
      <c r="C389"/>
      <c r="D389"/>
      <c r="E389" s="38"/>
      <c r="F389"/>
      <c r="G389"/>
      <c r="H389"/>
      <c r="I389"/>
    </row>
    <row r="390" spans="2:9" ht="15">
      <c r="B390"/>
      <c r="C390"/>
      <c r="D390"/>
      <c r="E390" s="38"/>
      <c r="F390"/>
      <c r="G390"/>
      <c r="H390"/>
      <c r="I390"/>
    </row>
    <row r="391" spans="2:9" ht="15">
      <c r="B391"/>
      <c r="C391"/>
      <c r="D391"/>
      <c r="E391" s="38"/>
      <c r="F391"/>
      <c r="G391"/>
      <c r="H391"/>
      <c r="I391"/>
    </row>
    <row r="392" spans="2:9" ht="15">
      <c r="B392"/>
      <c r="C392"/>
      <c r="D392"/>
      <c r="E392" s="38"/>
      <c r="F392"/>
      <c r="G392"/>
      <c r="H392"/>
      <c r="I392"/>
    </row>
    <row r="393" spans="2:9" ht="15">
      <c r="B393"/>
      <c r="C393"/>
      <c r="D393"/>
      <c r="E393" s="38"/>
      <c r="F393"/>
      <c r="G393"/>
      <c r="H393"/>
      <c r="I393"/>
    </row>
    <row r="394" spans="2:9">
      <c r="C394" s="5"/>
      <c r="D394" s="5"/>
      <c r="E394" s="41"/>
      <c r="F394" s="5"/>
    </row>
    <row r="395" spans="2:9">
      <c r="C395" s="5"/>
      <c r="D395" s="5"/>
      <c r="E395" s="41"/>
      <c r="F395" s="5"/>
    </row>
  </sheetData>
  <mergeCells count="1">
    <mergeCell ref="A1:H1"/>
  </mergeCells>
  <pageMargins left="0.7" right="0.7" top="0.75" bottom="0.75" header="0.3" footer="0.3"/>
  <pageSetup orientation="portrait" r:id="rId2"/>
  <customProperties>
    <customPr name="_pios_id" r:id="rId3"/>
  </customProperties>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95"/>
  <sheetViews>
    <sheetView showGridLines="0" zoomScale="80" zoomScaleNormal="80" workbookViewId="0">
      <selection activeCell="F8" sqref="F8"/>
    </sheetView>
  </sheetViews>
  <sheetFormatPr baseColWidth="10" defaultColWidth="10.85546875" defaultRowHeight="12.75"/>
  <cols>
    <col min="1" max="1" width="6.5703125" style="5" customWidth="1"/>
    <col min="2" max="2" width="20.85546875" style="5" bestFit="1" customWidth="1"/>
    <col min="3" max="3" width="21.5703125" style="6" customWidth="1"/>
    <col min="4" max="4" width="21.5703125" style="14" customWidth="1"/>
    <col min="5" max="5" width="23.5703125" style="14" customWidth="1"/>
    <col min="6" max="6" width="42.28515625" style="14" bestFit="1" customWidth="1"/>
    <col min="7" max="7" width="15.5703125" style="5" customWidth="1"/>
    <col min="8" max="8" width="28.5703125" style="5" customWidth="1"/>
    <col min="9" max="9" width="12.5703125" style="5" customWidth="1"/>
    <col min="10" max="10" width="14.42578125" style="5" bestFit="1" customWidth="1"/>
    <col min="11" max="16384" width="10.85546875" style="5"/>
  </cols>
  <sheetData>
    <row r="1" spans="1:14" ht="26.25">
      <c r="A1" s="48" t="s">
        <v>64</v>
      </c>
      <c r="B1" s="48"/>
      <c r="C1" s="48"/>
      <c r="D1" s="48"/>
      <c r="E1" s="48"/>
      <c r="F1" s="48"/>
      <c r="G1" s="48"/>
      <c r="H1" s="48"/>
      <c r="I1" s="32"/>
      <c r="J1" s="32"/>
    </row>
    <row r="3" spans="1:14">
      <c r="B3" s="12" t="s">
        <v>7</v>
      </c>
      <c r="C3" s="13" t="s">
        <v>91</v>
      </c>
    </row>
    <row r="5" spans="1:14" ht="15">
      <c r="B5" s="36" t="s">
        <v>70</v>
      </c>
      <c r="C5" s="37"/>
      <c r="D5" s="37"/>
      <c r="E5" s="37"/>
      <c r="F5" s="37"/>
      <c r="G5" s="13"/>
      <c r="H5"/>
      <c r="I5"/>
      <c r="J5"/>
      <c r="K5"/>
      <c r="L5"/>
      <c r="M5"/>
      <c r="N5"/>
    </row>
    <row r="6" spans="1:14" s="6" customFormat="1" ht="15">
      <c r="B6" s="16" t="s">
        <v>92</v>
      </c>
      <c r="C6" s="16" t="s">
        <v>12</v>
      </c>
      <c r="D6" s="16" t="s">
        <v>14</v>
      </c>
      <c r="E6" s="45" t="s">
        <v>93</v>
      </c>
      <c r="F6" s="16" t="s">
        <v>26</v>
      </c>
      <c r="G6" s="13" t="s">
        <v>61</v>
      </c>
      <c r="H6"/>
      <c r="I6"/>
      <c r="J6"/>
      <c r="K6"/>
      <c r="L6"/>
      <c r="M6"/>
      <c r="N6"/>
    </row>
    <row r="7" spans="1:14" ht="15">
      <c r="B7" s="13" t="s">
        <v>90</v>
      </c>
      <c r="C7" s="13"/>
      <c r="D7" s="13"/>
      <c r="E7" s="13"/>
      <c r="F7" s="13"/>
      <c r="G7" s="17"/>
      <c r="H7"/>
      <c r="I7"/>
      <c r="J7"/>
      <c r="K7"/>
      <c r="L7"/>
      <c r="M7"/>
      <c r="N7"/>
    </row>
    <row r="8" spans="1:14" ht="15">
      <c r="B8"/>
      <c r="C8"/>
      <c r="D8"/>
      <c r="E8"/>
      <c r="F8"/>
      <c r="G8"/>
      <c r="H8"/>
      <c r="I8"/>
      <c r="J8"/>
      <c r="K8"/>
      <c r="L8"/>
      <c r="M8"/>
      <c r="N8"/>
    </row>
    <row r="9" spans="1:14" ht="15">
      <c r="B9"/>
      <c r="C9"/>
      <c r="D9"/>
      <c r="E9"/>
      <c r="F9"/>
      <c r="G9"/>
      <c r="H9"/>
      <c r="I9"/>
      <c r="J9"/>
      <c r="K9"/>
      <c r="L9"/>
      <c r="M9"/>
      <c r="N9"/>
    </row>
    <row r="10" spans="1:14" ht="15">
      <c r="B10"/>
      <c r="C10"/>
      <c r="D10"/>
      <c r="E10"/>
      <c r="F10"/>
      <c r="G10"/>
      <c r="H10"/>
      <c r="I10"/>
      <c r="J10"/>
      <c r="K10"/>
      <c r="L10"/>
      <c r="M10"/>
      <c r="N10"/>
    </row>
    <row r="11" spans="1:14" ht="15">
      <c r="B11"/>
      <c r="C11"/>
      <c r="D11"/>
      <c r="E11"/>
      <c r="F11"/>
      <c r="G11"/>
      <c r="H11"/>
      <c r="I11"/>
      <c r="J11"/>
      <c r="K11"/>
      <c r="L11"/>
      <c r="M11"/>
      <c r="N11"/>
    </row>
    <row r="12" spans="1:14" ht="15">
      <c r="B12"/>
      <c r="C12"/>
      <c r="D12"/>
      <c r="E12"/>
      <c r="F12"/>
      <c r="G12"/>
      <c r="H12"/>
      <c r="I12"/>
      <c r="J12"/>
      <c r="K12"/>
      <c r="L12"/>
      <c r="M12"/>
      <c r="N12"/>
    </row>
    <row r="13" spans="1:14" ht="15">
      <c r="B13"/>
      <c r="C13"/>
      <c r="D13"/>
      <c r="E13"/>
      <c r="F13"/>
      <c r="G13"/>
      <c r="H13"/>
      <c r="I13"/>
      <c r="J13"/>
      <c r="K13"/>
      <c r="L13"/>
      <c r="M13"/>
      <c r="N13"/>
    </row>
    <row r="14" spans="1:14" ht="15">
      <c r="B14"/>
      <c r="C14"/>
      <c r="D14"/>
      <c r="E14"/>
      <c r="F14"/>
      <c r="G14"/>
      <c r="H14"/>
      <c r="I14"/>
      <c r="J14"/>
      <c r="K14"/>
      <c r="L14"/>
      <c r="M14"/>
      <c r="N14"/>
    </row>
    <row r="15" spans="1:14" ht="15">
      <c r="B15"/>
      <c r="C15"/>
      <c r="D15"/>
      <c r="E15"/>
      <c r="F15"/>
      <c r="G15"/>
      <c r="H15"/>
      <c r="I15"/>
      <c r="J15"/>
      <c r="K15"/>
      <c r="L15"/>
      <c r="M15"/>
      <c r="N15"/>
    </row>
    <row r="16" spans="1:14" ht="15">
      <c r="B16"/>
      <c r="C16"/>
      <c r="D16"/>
      <c r="E16"/>
      <c r="F16"/>
      <c r="G16"/>
      <c r="H16"/>
      <c r="I16"/>
      <c r="J16"/>
      <c r="K16"/>
      <c r="L16"/>
      <c r="M16"/>
      <c r="N16"/>
    </row>
    <row r="17" spans="2:14" ht="15">
      <c r="B17"/>
      <c r="C17"/>
      <c r="D17"/>
      <c r="E17"/>
      <c r="F17"/>
      <c r="G17"/>
      <c r="H17"/>
      <c r="I17"/>
      <c r="J17"/>
      <c r="K17"/>
      <c r="L17"/>
      <c r="M17"/>
      <c r="N17"/>
    </row>
    <row r="18" spans="2:14" ht="15">
      <c r="B18"/>
      <c r="C18"/>
      <c r="D18"/>
      <c r="E18"/>
      <c r="F18"/>
      <c r="G18"/>
      <c r="H18"/>
      <c r="I18"/>
      <c r="J18"/>
      <c r="K18"/>
      <c r="L18"/>
      <c r="M18"/>
      <c r="N18"/>
    </row>
    <row r="19" spans="2:14" ht="15">
      <c r="B19"/>
      <c r="C19"/>
      <c r="D19"/>
      <c r="E19"/>
      <c r="F19"/>
      <c r="G19"/>
      <c r="H19"/>
      <c r="I19"/>
      <c r="J19"/>
      <c r="K19"/>
      <c r="L19"/>
      <c r="M19"/>
      <c r="N19"/>
    </row>
    <row r="20" spans="2:14" ht="15">
      <c r="B20"/>
      <c r="C20"/>
      <c r="D20"/>
      <c r="E20"/>
      <c r="F20"/>
      <c r="G20"/>
      <c r="H20"/>
      <c r="I20"/>
      <c r="J20"/>
      <c r="K20"/>
      <c r="L20"/>
      <c r="M20"/>
      <c r="N20"/>
    </row>
    <row r="21" spans="2:14" ht="15">
      <c r="B21"/>
      <c r="C21"/>
      <c r="D21"/>
      <c r="E21"/>
      <c r="F21"/>
      <c r="G21"/>
      <c r="H21"/>
      <c r="I21"/>
      <c r="J21"/>
      <c r="K21"/>
      <c r="L21"/>
      <c r="M21"/>
      <c r="N21"/>
    </row>
    <row r="22" spans="2:14" ht="15">
      <c r="B22"/>
      <c r="C22"/>
      <c r="D22"/>
      <c r="E22"/>
      <c r="F22"/>
      <c r="G22"/>
      <c r="H22"/>
      <c r="I22"/>
      <c r="J22"/>
      <c r="K22"/>
      <c r="L22"/>
      <c r="M22"/>
      <c r="N22"/>
    </row>
    <row r="23" spans="2:14" ht="15">
      <c r="B23"/>
      <c r="C23"/>
      <c r="D23"/>
      <c r="E23"/>
      <c r="F23"/>
      <c r="G23"/>
      <c r="H23"/>
      <c r="I23"/>
      <c r="J23"/>
      <c r="K23"/>
      <c r="L23"/>
      <c r="M23"/>
      <c r="N23"/>
    </row>
    <row r="24" spans="2:14" ht="15">
      <c r="B24"/>
      <c r="C24"/>
      <c r="D24"/>
      <c r="E24"/>
      <c r="F24"/>
      <c r="G24"/>
      <c r="H24"/>
      <c r="I24"/>
      <c r="J24"/>
      <c r="K24"/>
      <c r="L24"/>
      <c r="M24"/>
      <c r="N24"/>
    </row>
    <row r="25" spans="2:14" ht="15">
      <c r="B25"/>
      <c r="C25"/>
      <c r="D25"/>
      <c r="E25"/>
      <c r="F25"/>
      <c r="G25"/>
      <c r="H25"/>
      <c r="I25"/>
      <c r="J25"/>
      <c r="K25"/>
      <c r="L25"/>
      <c r="M25"/>
      <c r="N25"/>
    </row>
    <row r="26" spans="2:14" ht="15">
      <c r="B26"/>
      <c r="C26"/>
      <c r="D26"/>
      <c r="E26"/>
      <c r="F26"/>
      <c r="G26"/>
      <c r="H26"/>
      <c r="I26"/>
      <c r="J26"/>
      <c r="K26"/>
      <c r="L26"/>
      <c r="M26"/>
      <c r="N26"/>
    </row>
    <row r="27" spans="2:14" ht="15">
      <c r="B27"/>
      <c r="C27"/>
      <c r="D27"/>
      <c r="E27"/>
      <c r="F27"/>
      <c r="G27"/>
      <c r="H27"/>
      <c r="I27"/>
      <c r="J27"/>
      <c r="K27"/>
      <c r="L27"/>
      <c r="M27"/>
      <c r="N27"/>
    </row>
    <row r="28" spans="2:14" ht="15">
      <c r="B28"/>
      <c r="C28"/>
      <c r="D28"/>
      <c r="E28"/>
      <c r="F28"/>
      <c r="G28"/>
      <c r="H28"/>
      <c r="I28"/>
      <c r="J28"/>
      <c r="K28"/>
      <c r="L28"/>
      <c r="M28"/>
      <c r="N28"/>
    </row>
    <row r="29" spans="2:14" ht="15">
      <c r="B29"/>
      <c r="C29"/>
      <c r="D29"/>
      <c r="E29"/>
      <c r="F29"/>
      <c r="G29"/>
      <c r="H29"/>
      <c r="I29"/>
      <c r="J29"/>
      <c r="K29"/>
      <c r="L29"/>
      <c r="M29"/>
      <c r="N29"/>
    </row>
    <row r="30" spans="2:14" ht="15">
      <c r="B30"/>
      <c r="C30"/>
      <c r="D30"/>
      <c r="E30"/>
      <c r="F30"/>
      <c r="G30"/>
      <c r="H30"/>
      <c r="I30"/>
      <c r="J30"/>
      <c r="K30"/>
      <c r="L30"/>
      <c r="M30"/>
      <c r="N30"/>
    </row>
    <row r="31" spans="2:14" ht="15">
      <c r="B31"/>
      <c r="C31"/>
      <c r="D31"/>
      <c r="E31"/>
      <c r="F31"/>
      <c r="G31"/>
      <c r="H31"/>
      <c r="I31"/>
      <c r="J31"/>
      <c r="K31"/>
      <c r="L31"/>
      <c r="M31"/>
      <c r="N31"/>
    </row>
    <row r="32" spans="2:14" ht="15">
      <c r="B32"/>
      <c r="C32"/>
      <c r="D32"/>
      <c r="E32"/>
      <c r="F32"/>
      <c r="G32"/>
      <c r="H32"/>
      <c r="I32"/>
      <c r="J32"/>
      <c r="K32"/>
      <c r="L32"/>
      <c r="M32"/>
      <c r="N32"/>
    </row>
    <row r="33" spans="2:14" ht="15">
      <c r="B33"/>
      <c r="C33"/>
      <c r="D33"/>
      <c r="E33"/>
      <c r="F33"/>
      <c r="G33"/>
      <c r="H33"/>
      <c r="I33"/>
      <c r="J33"/>
      <c r="K33"/>
      <c r="L33"/>
      <c r="M33"/>
      <c r="N33"/>
    </row>
    <row r="34" spans="2:14" ht="15">
      <c r="B34"/>
      <c r="C34"/>
      <c r="D34"/>
      <c r="E34"/>
      <c r="F34"/>
      <c r="G34"/>
      <c r="H34"/>
      <c r="I34"/>
      <c r="J34"/>
      <c r="K34"/>
      <c r="L34"/>
      <c r="M34"/>
      <c r="N34"/>
    </row>
    <row r="35" spans="2:14" ht="15">
      <c r="B35"/>
      <c r="C35"/>
      <c r="D35"/>
      <c r="E35"/>
      <c r="F35"/>
      <c r="G35"/>
      <c r="H35"/>
      <c r="I35"/>
      <c r="J35"/>
      <c r="K35"/>
      <c r="L35"/>
      <c r="M35"/>
      <c r="N35"/>
    </row>
    <row r="36" spans="2:14" ht="15">
      <c r="B36"/>
      <c r="C36"/>
      <c r="D36"/>
      <c r="E36"/>
      <c r="F36"/>
      <c r="G36"/>
      <c r="H36"/>
      <c r="I36"/>
      <c r="J36"/>
      <c r="K36"/>
      <c r="L36"/>
      <c r="M36"/>
      <c r="N36"/>
    </row>
    <row r="37" spans="2:14" ht="15">
      <c r="B37"/>
      <c r="C37"/>
      <c r="D37"/>
      <c r="E37"/>
      <c r="F37"/>
      <c r="G37"/>
      <c r="H37"/>
      <c r="I37"/>
      <c r="J37"/>
      <c r="K37"/>
      <c r="L37"/>
      <c r="M37"/>
      <c r="N37"/>
    </row>
    <row r="38" spans="2:14" ht="15">
      <c r="B38"/>
      <c r="C38"/>
      <c r="D38"/>
      <c r="E38"/>
      <c r="F38"/>
      <c r="G38"/>
      <c r="H38"/>
      <c r="I38"/>
      <c r="J38"/>
      <c r="K38"/>
      <c r="L38"/>
      <c r="M38"/>
      <c r="N38"/>
    </row>
    <row r="39" spans="2:14" ht="15">
      <c r="B39"/>
      <c r="C39"/>
      <c r="D39"/>
      <c r="E39"/>
      <c r="F39"/>
      <c r="G39"/>
      <c r="H39"/>
      <c r="I39"/>
      <c r="J39"/>
      <c r="K39"/>
      <c r="L39"/>
      <c r="M39"/>
      <c r="N39"/>
    </row>
    <row r="40" spans="2:14" ht="15">
      <c r="B40"/>
      <c r="C40"/>
      <c r="D40"/>
      <c r="E40"/>
      <c r="F40"/>
      <c r="G40"/>
      <c r="H40"/>
      <c r="I40"/>
      <c r="J40"/>
      <c r="K40"/>
      <c r="L40"/>
      <c r="M40"/>
      <c r="N40"/>
    </row>
    <row r="41" spans="2:14" ht="15">
      <c r="B41"/>
      <c r="C41"/>
      <c r="D41"/>
      <c r="E41"/>
      <c r="F41"/>
      <c r="G41"/>
      <c r="H41"/>
      <c r="I41"/>
      <c r="J41"/>
      <c r="K41"/>
      <c r="L41"/>
      <c r="M41"/>
      <c r="N41"/>
    </row>
    <row r="42" spans="2:14" ht="15">
      <c r="B42"/>
      <c r="C42"/>
      <c r="D42"/>
      <c r="E42"/>
      <c r="F42"/>
      <c r="G42"/>
      <c r="H42"/>
      <c r="I42"/>
      <c r="J42"/>
      <c r="K42"/>
      <c r="L42"/>
      <c r="M42"/>
      <c r="N42"/>
    </row>
    <row r="43" spans="2:14" ht="15">
      <c r="B43"/>
      <c r="C43"/>
      <c r="D43"/>
      <c r="E43"/>
      <c r="F43"/>
      <c r="G43"/>
      <c r="H43"/>
      <c r="I43"/>
      <c r="J43"/>
      <c r="K43"/>
      <c r="L43"/>
      <c r="M43"/>
      <c r="N43"/>
    </row>
    <row r="44" spans="2:14" ht="15">
      <c r="B44"/>
      <c r="C44"/>
      <c r="D44"/>
      <c r="E44"/>
      <c r="F44"/>
      <c r="G44"/>
      <c r="H44"/>
      <c r="I44"/>
      <c r="J44"/>
      <c r="K44"/>
      <c r="L44"/>
      <c r="M44"/>
      <c r="N44"/>
    </row>
    <row r="45" spans="2:14" ht="15">
      <c r="B45"/>
      <c r="C45"/>
      <c r="D45"/>
      <c r="E45"/>
      <c r="F45"/>
      <c r="G45"/>
      <c r="H45"/>
      <c r="I45"/>
      <c r="J45"/>
      <c r="K45"/>
      <c r="L45"/>
      <c r="M45"/>
      <c r="N45"/>
    </row>
    <row r="46" spans="2:14" ht="15">
      <c r="B46"/>
      <c r="C46"/>
      <c r="D46"/>
      <c r="E46"/>
      <c r="F46"/>
      <c r="G46"/>
      <c r="H46"/>
      <c r="I46"/>
      <c r="J46"/>
      <c r="K46"/>
      <c r="L46"/>
      <c r="M46"/>
      <c r="N46"/>
    </row>
    <row r="47" spans="2:14" ht="15">
      <c r="B47"/>
      <c r="C47"/>
      <c r="D47"/>
      <c r="E47"/>
      <c r="F47"/>
      <c r="G47"/>
      <c r="H47"/>
      <c r="I47"/>
      <c r="J47"/>
      <c r="K47"/>
      <c r="L47"/>
      <c r="M47"/>
      <c r="N47"/>
    </row>
    <row r="48" spans="2:14" ht="15">
      <c r="B48"/>
      <c r="C48"/>
      <c r="D48"/>
      <c r="E48"/>
      <c r="F48"/>
      <c r="G48"/>
      <c r="H48"/>
      <c r="I48"/>
      <c r="J48"/>
      <c r="K48"/>
      <c r="L48"/>
      <c r="M48"/>
      <c r="N48"/>
    </row>
    <row r="49" spans="2:14" ht="15">
      <c r="B49"/>
      <c r="C49"/>
      <c r="D49"/>
      <c r="E49"/>
      <c r="F49"/>
      <c r="G49"/>
      <c r="H49"/>
      <c r="I49"/>
      <c r="J49"/>
      <c r="K49"/>
      <c r="L49"/>
      <c r="M49"/>
      <c r="N49"/>
    </row>
    <row r="50" spans="2:14" ht="15">
      <c r="B50"/>
      <c r="C50"/>
      <c r="D50"/>
      <c r="E50"/>
      <c r="F50"/>
      <c r="G50"/>
      <c r="H50"/>
      <c r="I50"/>
      <c r="J50"/>
      <c r="K50"/>
      <c r="L50"/>
      <c r="M50"/>
      <c r="N50"/>
    </row>
    <row r="51" spans="2:14" ht="15">
      <c r="B51"/>
      <c r="C51"/>
      <c r="D51"/>
      <c r="E51"/>
      <c r="F51"/>
      <c r="G51"/>
      <c r="H51"/>
      <c r="I51"/>
      <c r="J51"/>
      <c r="K51"/>
      <c r="L51"/>
      <c r="M51"/>
      <c r="N51"/>
    </row>
    <row r="52" spans="2:14" ht="15">
      <c r="B52"/>
      <c r="C52"/>
      <c r="D52"/>
      <c r="E52"/>
      <c r="F52"/>
      <c r="G52"/>
      <c r="H52"/>
      <c r="I52"/>
      <c r="J52"/>
      <c r="K52"/>
      <c r="L52"/>
      <c r="M52"/>
      <c r="N52"/>
    </row>
    <row r="53" spans="2:14" ht="15">
      <c r="B53"/>
      <c r="C53"/>
      <c r="D53"/>
      <c r="E53"/>
      <c r="F53"/>
      <c r="G53"/>
      <c r="H53"/>
      <c r="I53"/>
      <c r="J53"/>
      <c r="K53"/>
      <c r="L53"/>
      <c r="M53"/>
      <c r="N53"/>
    </row>
    <row r="54" spans="2:14" ht="15">
      <c r="B54"/>
      <c r="C54"/>
      <c r="D54"/>
      <c r="E54"/>
      <c r="F54"/>
      <c r="G54"/>
      <c r="H54"/>
      <c r="I54"/>
      <c r="J54"/>
      <c r="K54"/>
      <c r="L54"/>
      <c r="M54"/>
      <c r="N54"/>
    </row>
    <row r="55" spans="2:14" ht="15">
      <c r="B55"/>
      <c r="C55"/>
      <c r="D55"/>
      <c r="E55"/>
      <c r="F55"/>
      <c r="G55"/>
      <c r="H55"/>
      <c r="I55"/>
      <c r="J55"/>
      <c r="K55"/>
      <c r="L55"/>
      <c r="M55"/>
      <c r="N55"/>
    </row>
    <row r="56" spans="2:14" ht="15">
      <c r="B56"/>
      <c r="C56"/>
      <c r="D56"/>
      <c r="E56"/>
      <c r="F56"/>
      <c r="G56"/>
      <c r="H56"/>
      <c r="I56"/>
      <c r="J56"/>
      <c r="K56"/>
      <c r="L56"/>
      <c r="M56"/>
      <c r="N56"/>
    </row>
    <row r="57" spans="2:14" ht="15">
      <c r="B57"/>
      <c r="C57"/>
      <c r="D57"/>
      <c r="E57"/>
      <c r="F57"/>
      <c r="G57"/>
      <c r="H57"/>
      <c r="I57"/>
      <c r="J57"/>
      <c r="K57"/>
      <c r="L57"/>
      <c r="M57"/>
      <c r="N57"/>
    </row>
    <row r="58" spans="2:14" ht="15">
      <c r="B58"/>
      <c r="C58"/>
      <c r="D58"/>
      <c r="E58"/>
      <c r="F58"/>
      <c r="G58"/>
      <c r="H58"/>
      <c r="I58"/>
      <c r="J58"/>
      <c r="K58"/>
      <c r="L58"/>
      <c r="M58"/>
      <c r="N58"/>
    </row>
    <row r="59" spans="2:14" ht="15">
      <c r="B59"/>
      <c r="C59"/>
      <c r="D59"/>
      <c r="E59"/>
      <c r="F59"/>
      <c r="G59"/>
      <c r="H59"/>
      <c r="I59"/>
      <c r="J59"/>
      <c r="K59"/>
      <c r="L59"/>
      <c r="M59"/>
      <c r="N59"/>
    </row>
    <row r="60" spans="2:14" ht="15">
      <c r="B60"/>
      <c r="C60"/>
      <c r="D60"/>
      <c r="E60"/>
      <c r="F60"/>
      <c r="G60"/>
      <c r="H60"/>
      <c r="I60"/>
      <c r="J60"/>
      <c r="K60"/>
      <c r="L60"/>
      <c r="M60"/>
      <c r="N60"/>
    </row>
    <row r="61" spans="2:14" ht="15">
      <c r="B61"/>
      <c r="C61"/>
      <c r="D61"/>
      <c r="E61"/>
      <c r="F61"/>
      <c r="G61"/>
      <c r="H61"/>
      <c r="I61"/>
      <c r="J61"/>
      <c r="K61"/>
      <c r="L61"/>
      <c r="M61"/>
      <c r="N61"/>
    </row>
    <row r="62" spans="2:14" ht="15">
      <c r="B62"/>
      <c r="C62"/>
      <c r="D62"/>
      <c r="E62"/>
      <c r="F62"/>
      <c r="G62"/>
      <c r="H62"/>
      <c r="I62"/>
      <c r="J62"/>
      <c r="K62"/>
      <c r="L62"/>
      <c r="M62"/>
      <c r="N62"/>
    </row>
    <row r="63" spans="2:14" ht="15">
      <c r="B63"/>
      <c r="C63"/>
      <c r="D63"/>
      <c r="E63"/>
      <c r="F63"/>
      <c r="G63"/>
      <c r="H63"/>
      <c r="I63"/>
      <c r="J63"/>
      <c r="K63"/>
      <c r="L63"/>
      <c r="M63"/>
      <c r="N63"/>
    </row>
    <row r="64" spans="2:14" ht="15">
      <c r="B64"/>
      <c r="C64"/>
      <c r="D64"/>
      <c r="E64"/>
      <c r="F64"/>
      <c r="G64"/>
      <c r="H64"/>
      <c r="I64"/>
      <c r="J64"/>
      <c r="K64"/>
      <c r="L64"/>
      <c r="M64"/>
      <c r="N64"/>
    </row>
    <row r="65" spans="2:14" ht="15">
      <c r="B65"/>
      <c r="C65"/>
      <c r="D65"/>
      <c r="E65"/>
      <c r="F65"/>
      <c r="G65"/>
      <c r="H65"/>
      <c r="I65"/>
      <c r="J65"/>
      <c r="K65"/>
      <c r="L65"/>
      <c r="M65"/>
      <c r="N65"/>
    </row>
    <row r="66" spans="2:14" ht="15">
      <c r="B66"/>
      <c r="C66"/>
      <c r="D66"/>
      <c r="E66"/>
      <c r="F66"/>
      <c r="G66"/>
      <c r="H66"/>
      <c r="I66"/>
      <c r="J66"/>
      <c r="K66"/>
      <c r="L66"/>
      <c r="M66"/>
      <c r="N66"/>
    </row>
    <row r="67" spans="2:14" ht="15">
      <c r="B67"/>
      <c r="C67"/>
      <c r="D67"/>
      <c r="E67"/>
      <c r="F67"/>
      <c r="G67"/>
      <c r="H67"/>
      <c r="I67"/>
      <c r="J67"/>
      <c r="K67"/>
      <c r="L67"/>
      <c r="M67"/>
      <c r="N67"/>
    </row>
    <row r="68" spans="2:14" ht="15">
      <c r="B68"/>
      <c r="C68"/>
      <c r="D68"/>
      <c r="E68"/>
      <c r="F68"/>
      <c r="G68"/>
      <c r="H68"/>
      <c r="I68"/>
      <c r="J68"/>
      <c r="K68"/>
      <c r="L68"/>
      <c r="M68"/>
      <c r="N68"/>
    </row>
    <row r="69" spans="2:14" ht="15">
      <c r="B69"/>
      <c r="C69"/>
      <c r="D69"/>
      <c r="E69"/>
      <c r="F69"/>
      <c r="G69"/>
      <c r="H69"/>
      <c r="I69"/>
      <c r="J69"/>
      <c r="K69"/>
      <c r="L69"/>
      <c r="M69"/>
      <c r="N69"/>
    </row>
    <row r="70" spans="2:14" ht="15">
      <c r="B70"/>
      <c r="C70"/>
      <c r="D70"/>
      <c r="E70"/>
      <c r="F70"/>
      <c r="G70"/>
      <c r="H70"/>
      <c r="I70"/>
      <c r="J70"/>
      <c r="K70"/>
      <c r="L70"/>
      <c r="M70"/>
      <c r="N70"/>
    </row>
    <row r="71" spans="2:14" ht="15">
      <c r="B71"/>
      <c r="C71"/>
      <c r="D71"/>
      <c r="E71"/>
      <c r="F71"/>
      <c r="G71"/>
      <c r="H71"/>
      <c r="I71"/>
      <c r="J71"/>
      <c r="K71"/>
      <c r="L71"/>
      <c r="M71"/>
      <c r="N71"/>
    </row>
    <row r="72" spans="2:14" ht="15">
      <c r="B72"/>
      <c r="C72"/>
      <c r="D72"/>
      <c r="E72"/>
      <c r="F72"/>
      <c r="G72"/>
      <c r="H72"/>
      <c r="I72"/>
      <c r="J72"/>
      <c r="K72"/>
      <c r="L72"/>
      <c r="M72"/>
      <c r="N72"/>
    </row>
    <row r="73" spans="2:14" ht="15">
      <c r="B73"/>
      <c r="C73"/>
      <c r="D73"/>
      <c r="E73"/>
      <c r="F73"/>
      <c r="G73"/>
      <c r="H73"/>
      <c r="I73"/>
      <c r="J73"/>
      <c r="K73"/>
      <c r="L73"/>
      <c r="M73"/>
      <c r="N73"/>
    </row>
    <row r="74" spans="2:14" ht="15">
      <c r="B74"/>
      <c r="C74"/>
      <c r="D74"/>
      <c r="E74"/>
      <c r="F74"/>
      <c r="G74"/>
      <c r="H74"/>
      <c r="I74"/>
      <c r="J74"/>
      <c r="K74"/>
      <c r="L74"/>
      <c r="M74"/>
      <c r="N74"/>
    </row>
    <row r="75" spans="2:14" ht="15">
      <c r="B75"/>
      <c r="C75"/>
      <c r="D75"/>
      <c r="E75"/>
      <c r="F75"/>
      <c r="G75"/>
      <c r="H75"/>
      <c r="I75"/>
      <c r="J75"/>
      <c r="K75"/>
      <c r="L75"/>
      <c r="M75"/>
      <c r="N75"/>
    </row>
    <row r="76" spans="2:14" ht="15">
      <c r="B76"/>
      <c r="C76"/>
      <c r="D76"/>
      <c r="E76"/>
      <c r="F76"/>
      <c r="G76"/>
      <c r="H76"/>
      <c r="I76"/>
      <c r="J76"/>
      <c r="K76"/>
      <c r="L76"/>
      <c r="M76"/>
      <c r="N76"/>
    </row>
    <row r="77" spans="2:14" ht="15">
      <c r="B77"/>
      <c r="C77"/>
      <c r="D77"/>
      <c r="E77"/>
      <c r="F77"/>
      <c r="G77"/>
      <c r="H77"/>
      <c r="I77"/>
      <c r="J77"/>
      <c r="K77"/>
      <c r="L77"/>
      <c r="M77"/>
      <c r="N77"/>
    </row>
    <row r="78" spans="2:14" ht="15">
      <c r="B78"/>
      <c r="C78"/>
      <c r="D78"/>
      <c r="E78"/>
      <c r="F78"/>
      <c r="G78"/>
      <c r="H78"/>
      <c r="I78"/>
      <c r="J78"/>
      <c r="K78"/>
      <c r="L78"/>
      <c r="M78"/>
      <c r="N78"/>
    </row>
    <row r="79" spans="2:14" ht="15">
      <c r="B79"/>
      <c r="C79"/>
      <c r="D79"/>
      <c r="E79"/>
      <c r="F79"/>
      <c r="G79"/>
      <c r="H79"/>
      <c r="I79"/>
      <c r="J79"/>
      <c r="K79"/>
      <c r="L79"/>
      <c r="M79"/>
      <c r="N79"/>
    </row>
    <row r="80" spans="2:14" ht="15">
      <c r="B80"/>
      <c r="C80"/>
      <c r="D80"/>
      <c r="E80"/>
      <c r="F80"/>
      <c r="G80"/>
      <c r="H80"/>
      <c r="I80"/>
      <c r="J80"/>
      <c r="K80"/>
      <c r="L80"/>
      <c r="M80"/>
      <c r="N80"/>
    </row>
    <row r="81" spans="2:14" ht="15">
      <c r="B81"/>
      <c r="C81"/>
      <c r="D81"/>
      <c r="E81"/>
      <c r="F81"/>
      <c r="G81"/>
      <c r="H81"/>
      <c r="I81"/>
      <c r="J81"/>
      <c r="K81"/>
      <c r="L81"/>
      <c r="M81"/>
      <c r="N81"/>
    </row>
    <row r="82" spans="2:14" ht="15">
      <c r="B82"/>
      <c r="C82"/>
      <c r="D82"/>
      <c r="E82"/>
      <c r="F82"/>
      <c r="G82"/>
      <c r="H82"/>
      <c r="I82"/>
      <c r="J82"/>
      <c r="K82"/>
      <c r="L82"/>
      <c r="M82"/>
      <c r="N82"/>
    </row>
    <row r="83" spans="2:14" ht="15">
      <c r="B83"/>
      <c r="C83"/>
      <c r="D83"/>
      <c r="E83"/>
      <c r="F83"/>
      <c r="G83"/>
      <c r="H83"/>
      <c r="I83"/>
      <c r="J83"/>
      <c r="K83"/>
      <c r="L83"/>
      <c r="M83"/>
      <c r="N83"/>
    </row>
    <row r="84" spans="2:14" ht="15">
      <c r="B84"/>
      <c r="C84"/>
      <c r="D84"/>
      <c r="E84"/>
      <c r="F84"/>
      <c r="G84"/>
      <c r="H84"/>
      <c r="I84"/>
      <c r="J84"/>
      <c r="K84"/>
      <c r="L84"/>
      <c r="M84"/>
      <c r="N84"/>
    </row>
    <row r="85" spans="2:14" ht="15">
      <c r="B85"/>
      <c r="C85"/>
      <c r="D85"/>
      <c r="E85"/>
      <c r="F85"/>
      <c r="G85"/>
      <c r="H85"/>
      <c r="I85"/>
      <c r="J85"/>
      <c r="K85"/>
      <c r="L85"/>
      <c r="M85"/>
      <c r="N85"/>
    </row>
    <row r="86" spans="2:14" ht="15">
      <c r="B86"/>
      <c r="C86"/>
      <c r="D86"/>
      <c r="E86"/>
      <c r="F86"/>
      <c r="G86"/>
      <c r="H86"/>
      <c r="I86"/>
      <c r="J86"/>
      <c r="K86"/>
      <c r="L86"/>
      <c r="M86"/>
      <c r="N86"/>
    </row>
    <row r="87" spans="2:14" ht="15">
      <c r="B87"/>
      <c r="C87"/>
      <c r="D87"/>
      <c r="E87"/>
      <c r="F87"/>
      <c r="G87"/>
      <c r="H87"/>
      <c r="I87"/>
      <c r="J87"/>
      <c r="K87"/>
      <c r="L87"/>
      <c r="M87"/>
      <c r="N87"/>
    </row>
    <row r="88" spans="2:14" ht="15">
      <c r="B88"/>
      <c r="C88"/>
      <c r="D88"/>
      <c r="E88"/>
      <c r="F88"/>
      <c r="G88"/>
      <c r="H88"/>
      <c r="I88"/>
      <c r="J88"/>
      <c r="K88"/>
      <c r="L88"/>
      <c r="M88"/>
      <c r="N88"/>
    </row>
    <row r="89" spans="2:14" ht="15">
      <c r="B89"/>
      <c r="C89"/>
      <c r="D89"/>
      <c r="E89"/>
      <c r="F89"/>
      <c r="G89"/>
      <c r="H89"/>
      <c r="I89"/>
      <c r="J89"/>
      <c r="K89"/>
      <c r="L89"/>
      <c r="M89"/>
      <c r="N89"/>
    </row>
    <row r="90" spans="2:14" ht="15">
      <c r="B90"/>
      <c r="C90"/>
      <c r="D90"/>
      <c r="E90"/>
      <c r="F90"/>
      <c r="G90"/>
      <c r="H90"/>
      <c r="I90"/>
      <c r="J90"/>
      <c r="K90"/>
      <c r="L90"/>
      <c r="M90"/>
      <c r="N90"/>
    </row>
    <row r="91" spans="2:14" ht="15">
      <c r="B91"/>
      <c r="C91"/>
      <c r="D91"/>
      <c r="E91"/>
      <c r="F91"/>
      <c r="G91"/>
      <c r="H91"/>
      <c r="I91"/>
      <c r="J91"/>
      <c r="K91"/>
      <c r="L91"/>
      <c r="M91"/>
      <c r="N91"/>
    </row>
    <row r="92" spans="2:14" ht="15">
      <c r="B92"/>
      <c r="C92"/>
      <c r="D92"/>
      <c r="E92"/>
      <c r="F92"/>
      <c r="G92"/>
      <c r="H92"/>
      <c r="I92"/>
      <c r="J92"/>
      <c r="K92"/>
      <c r="L92"/>
      <c r="M92"/>
      <c r="N92"/>
    </row>
    <row r="93" spans="2:14" ht="15">
      <c r="B93"/>
      <c r="C93"/>
      <c r="D93"/>
      <c r="E93"/>
      <c r="F93"/>
      <c r="G93"/>
      <c r="H93"/>
      <c r="I93"/>
      <c r="J93"/>
      <c r="K93"/>
      <c r="L93"/>
      <c r="M93"/>
      <c r="N93"/>
    </row>
    <row r="94" spans="2:14" ht="15">
      <c r="B94"/>
      <c r="C94"/>
      <c r="D94"/>
      <c r="E94"/>
      <c r="F94"/>
      <c r="G94"/>
      <c r="H94"/>
      <c r="I94"/>
      <c r="J94"/>
      <c r="K94"/>
      <c r="L94"/>
      <c r="M94"/>
      <c r="N94"/>
    </row>
    <row r="95" spans="2:14" ht="15">
      <c r="B95"/>
      <c r="C95"/>
      <c r="D95"/>
      <c r="E95"/>
      <c r="F95"/>
      <c r="G95"/>
      <c r="H95"/>
      <c r="I95"/>
      <c r="J95"/>
      <c r="K95"/>
      <c r="L95"/>
      <c r="M95"/>
      <c r="N95"/>
    </row>
    <row r="96" spans="2:14" ht="15">
      <c r="B96"/>
      <c r="C96"/>
      <c r="D96"/>
      <c r="E96"/>
      <c r="F96"/>
      <c r="G96"/>
      <c r="H96"/>
      <c r="I96"/>
      <c r="J96"/>
      <c r="K96"/>
      <c r="L96"/>
      <c r="M96"/>
      <c r="N96"/>
    </row>
    <row r="97" spans="2:14" ht="15">
      <c r="B97"/>
      <c r="C97"/>
      <c r="D97"/>
      <c r="E97"/>
      <c r="F97"/>
      <c r="G97"/>
      <c r="H97"/>
      <c r="I97"/>
      <c r="J97"/>
      <c r="K97"/>
      <c r="L97"/>
      <c r="M97"/>
      <c r="N97"/>
    </row>
    <row r="98" spans="2:14" ht="15">
      <c r="B98"/>
      <c r="C98"/>
      <c r="D98"/>
      <c r="E98"/>
      <c r="F98"/>
      <c r="G98"/>
      <c r="H98"/>
      <c r="I98"/>
      <c r="J98"/>
      <c r="K98"/>
      <c r="L98"/>
      <c r="M98"/>
      <c r="N98"/>
    </row>
    <row r="99" spans="2:14" ht="15">
      <c r="B99"/>
      <c r="C99"/>
      <c r="D99"/>
      <c r="E99"/>
      <c r="F99"/>
      <c r="G99"/>
      <c r="H99"/>
      <c r="I99"/>
      <c r="J99"/>
      <c r="K99"/>
      <c r="L99"/>
      <c r="M99"/>
      <c r="N99"/>
    </row>
    <row r="100" spans="2:14" ht="15">
      <c r="B100"/>
      <c r="C100"/>
      <c r="D100"/>
      <c r="E100"/>
      <c r="F100"/>
      <c r="G100"/>
      <c r="H100"/>
      <c r="I100"/>
      <c r="J100"/>
      <c r="K100"/>
      <c r="L100"/>
      <c r="M100"/>
      <c r="N100"/>
    </row>
    <row r="101" spans="2:14" ht="15">
      <c r="B101"/>
      <c r="C101"/>
      <c r="D101"/>
      <c r="E101"/>
      <c r="F101"/>
      <c r="G101"/>
      <c r="H101"/>
      <c r="I101"/>
      <c r="J101"/>
      <c r="K101"/>
      <c r="L101"/>
      <c r="M101"/>
      <c r="N101"/>
    </row>
    <row r="102" spans="2:14" ht="15">
      <c r="B102"/>
      <c r="C102"/>
      <c r="D102"/>
      <c r="E102"/>
      <c r="F102"/>
      <c r="G102"/>
      <c r="H102"/>
      <c r="I102"/>
      <c r="J102"/>
      <c r="K102"/>
      <c r="L102"/>
      <c r="M102"/>
      <c r="N102"/>
    </row>
    <row r="103" spans="2:14" ht="15">
      <c r="B103"/>
      <c r="C103"/>
      <c r="D103"/>
      <c r="E103"/>
      <c r="F103"/>
      <c r="G103"/>
      <c r="H103"/>
      <c r="I103"/>
      <c r="J103"/>
      <c r="K103"/>
      <c r="L103"/>
      <c r="M103"/>
      <c r="N103"/>
    </row>
    <row r="104" spans="2:14" ht="15">
      <c r="B104"/>
      <c r="C104"/>
      <c r="D104"/>
      <c r="E104"/>
      <c r="F104"/>
      <c r="G104"/>
      <c r="H104"/>
      <c r="I104"/>
      <c r="J104"/>
      <c r="K104"/>
      <c r="L104"/>
      <c r="M104"/>
      <c r="N104"/>
    </row>
    <row r="105" spans="2:14" ht="15">
      <c r="B105"/>
      <c r="C105"/>
      <c r="D105"/>
      <c r="E105"/>
      <c r="F105"/>
      <c r="G105"/>
      <c r="H105"/>
      <c r="I105"/>
      <c r="J105"/>
      <c r="K105"/>
      <c r="L105"/>
      <c r="M105"/>
      <c r="N105"/>
    </row>
    <row r="106" spans="2:14" ht="15">
      <c r="B106"/>
      <c r="C106"/>
      <c r="D106"/>
      <c r="E106"/>
      <c r="F106"/>
      <c r="G106"/>
      <c r="H106"/>
      <c r="I106"/>
      <c r="J106"/>
      <c r="K106"/>
      <c r="L106"/>
      <c r="M106"/>
      <c r="N106"/>
    </row>
    <row r="107" spans="2:14" ht="15">
      <c r="B107"/>
      <c r="C107"/>
      <c r="D107"/>
      <c r="E107"/>
      <c r="F107"/>
      <c r="G107"/>
      <c r="H107"/>
      <c r="I107"/>
      <c r="J107"/>
      <c r="K107"/>
      <c r="L107"/>
      <c r="M107"/>
      <c r="N107"/>
    </row>
    <row r="108" spans="2:14" ht="15">
      <c r="B108"/>
      <c r="C108"/>
      <c r="D108"/>
      <c r="E108"/>
      <c r="F108"/>
      <c r="G108"/>
      <c r="H108"/>
      <c r="I108"/>
      <c r="J108"/>
      <c r="K108"/>
      <c r="L108"/>
      <c r="M108"/>
      <c r="N108"/>
    </row>
    <row r="109" spans="2:14" ht="15">
      <c r="B109"/>
      <c r="C109"/>
      <c r="D109"/>
      <c r="E109"/>
      <c r="F109"/>
      <c r="G109"/>
      <c r="H109"/>
      <c r="I109"/>
      <c r="J109"/>
      <c r="K109"/>
      <c r="L109"/>
      <c r="M109"/>
      <c r="N109"/>
    </row>
    <row r="110" spans="2:14" ht="15">
      <c r="B110"/>
      <c r="C110"/>
      <c r="D110"/>
      <c r="E110"/>
      <c r="F110"/>
      <c r="G110"/>
      <c r="H110"/>
      <c r="I110"/>
      <c r="J110"/>
      <c r="K110"/>
      <c r="L110"/>
      <c r="M110"/>
      <c r="N110"/>
    </row>
    <row r="111" spans="2:14" ht="15">
      <c r="B111"/>
      <c r="C111"/>
      <c r="D111"/>
      <c r="E111"/>
      <c r="F111"/>
      <c r="G111"/>
      <c r="H111"/>
      <c r="I111"/>
      <c r="J111"/>
      <c r="K111"/>
      <c r="L111"/>
      <c r="M111"/>
      <c r="N111"/>
    </row>
    <row r="112" spans="2:14" ht="15">
      <c r="B112"/>
      <c r="C112"/>
      <c r="D112"/>
      <c r="E112"/>
      <c r="F112"/>
      <c r="G112"/>
      <c r="H112"/>
      <c r="I112"/>
      <c r="J112"/>
      <c r="K112"/>
      <c r="L112"/>
      <c r="M112"/>
      <c r="N112"/>
    </row>
    <row r="113" spans="2:9" ht="15">
      <c r="B113"/>
      <c r="C113"/>
      <c r="D113"/>
      <c r="E113"/>
      <c r="F113"/>
      <c r="G113"/>
      <c r="H113"/>
      <c r="I113"/>
    </row>
    <row r="114" spans="2:9">
      <c r="C114" s="5"/>
      <c r="D114" s="5"/>
      <c r="E114" s="5"/>
      <c r="F114" s="5"/>
    </row>
    <row r="115" spans="2:9">
      <c r="C115" s="5"/>
      <c r="D115" s="5"/>
      <c r="E115" s="5"/>
      <c r="F115" s="5"/>
    </row>
    <row r="116" spans="2:9">
      <c r="C116" s="5"/>
      <c r="D116" s="5"/>
      <c r="E116" s="5"/>
      <c r="F116" s="5"/>
    </row>
    <row r="117" spans="2:9">
      <c r="C117" s="5"/>
      <c r="D117" s="5"/>
      <c r="E117" s="5"/>
      <c r="F117" s="5"/>
    </row>
    <row r="118" spans="2:9">
      <c r="C118" s="5"/>
      <c r="D118" s="5"/>
      <c r="E118" s="5"/>
      <c r="F118" s="5"/>
    </row>
    <row r="119" spans="2:9">
      <c r="C119" s="5"/>
      <c r="D119" s="5"/>
      <c r="E119" s="5"/>
      <c r="F119" s="5"/>
    </row>
    <row r="120" spans="2:9">
      <c r="C120" s="5"/>
      <c r="D120" s="5"/>
      <c r="E120" s="5"/>
      <c r="F120" s="5"/>
    </row>
    <row r="121" spans="2:9">
      <c r="C121" s="5"/>
      <c r="D121" s="5"/>
      <c r="E121" s="5"/>
      <c r="F121" s="5"/>
    </row>
    <row r="122" spans="2:9">
      <c r="C122" s="5"/>
      <c r="D122" s="5"/>
      <c r="E122" s="5"/>
      <c r="F122" s="5"/>
    </row>
    <row r="123" spans="2:9">
      <c r="C123" s="5"/>
      <c r="D123" s="5"/>
      <c r="E123" s="5"/>
      <c r="F123" s="5"/>
    </row>
    <row r="124" spans="2:9">
      <c r="C124" s="5"/>
      <c r="D124" s="5"/>
      <c r="E124" s="5"/>
      <c r="F124" s="5"/>
    </row>
    <row r="125" spans="2:9">
      <c r="C125" s="5"/>
      <c r="D125" s="5"/>
      <c r="E125" s="5"/>
      <c r="F125" s="5"/>
    </row>
    <row r="126" spans="2:9">
      <c r="C126" s="5"/>
      <c r="D126" s="5"/>
      <c r="E126" s="5"/>
      <c r="F126" s="5"/>
    </row>
    <row r="127" spans="2:9">
      <c r="C127" s="5"/>
      <c r="D127" s="5"/>
      <c r="E127" s="5"/>
      <c r="F127" s="5"/>
    </row>
    <row r="128" spans="2:9">
      <c r="C128" s="5"/>
      <c r="D128" s="5"/>
      <c r="E128" s="5"/>
      <c r="F128" s="5"/>
    </row>
    <row r="129" s="5" customFormat="1"/>
    <row r="130" s="5" customFormat="1"/>
    <row r="131" s="5" customFormat="1"/>
    <row r="132" s="5" customFormat="1"/>
    <row r="133" s="5" customFormat="1"/>
    <row r="134" s="5" customFormat="1"/>
    <row r="135" s="5" customFormat="1"/>
    <row r="136" s="5" customFormat="1"/>
    <row r="137" s="5" customFormat="1"/>
    <row r="138" s="5" customFormat="1"/>
    <row r="139" s="5" customFormat="1"/>
    <row r="140" s="5" customFormat="1"/>
    <row r="141" s="5" customFormat="1"/>
    <row r="142" s="5" customFormat="1"/>
    <row r="143" s="5" customFormat="1"/>
    <row r="144" s="5" customFormat="1"/>
    <row r="145" s="5" customFormat="1"/>
    <row r="146" s="5" customFormat="1"/>
    <row r="147" s="5" customFormat="1"/>
    <row r="148" s="5" customFormat="1"/>
    <row r="149" s="5" customFormat="1"/>
    <row r="150" s="5" customFormat="1"/>
    <row r="151" s="5" customFormat="1"/>
    <row r="152" s="5" customFormat="1"/>
    <row r="153" s="5" customFormat="1"/>
    <row r="154" s="5" customFormat="1"/>
    <row r="155" s="5" customFormat="1"/>
    <row r="156" s="5" customFormat="1"/>
    <row r="157" s="5" customFormat="1"/>
    <row r="158" s="5" customFormat="1"/>
    <row r="159" s="5" customFormat="1"/>
    <row r="160" s="5" customFormat="1"/>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sheetData>
  <mergeCells count="1">
    <mergeCell ref="A1:H1"/>
  </mergeCell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95"/>
  <sheetViews>
    <sheetView showGridLines="0" zoomScale="80" zoomScaleNormal="80" workbookViewId="0">
      <selection activeCell="G20" sqref="G20"/>
    </sheetView>
  </sheetViews>
  <sheetFormatPr baseColWidth="10" defaultColWidth="10.85546875" defaultRowHeight="12.75"/>
  <cols>
    <col min="1" max="1" width="6.5703125" style="5" customWidth="1"/>
    <col min="2" max="2" width="18.5703125" style="5" customWidth="1"/>
    <col min="3" max="3" width="21.5703125" style="6" customWidth="1"/>
    <col min="4" max="4" width="21.5703125" style="14" customWidth="1"/>
    <col min="5" max="5" width="23.5703125" style="14" customWidth="1"/>
    <col min="6" max="6" width="46.42578125" style="14" customWidth="1"/>
    <col min="7" max="7" width="15.5703125" style="5" customWidth="1"/>
    <col min="8" max="8" width="20.85546875" style="5" customWidth="1"/>
    <col min="9" max="9" width="12.5703125" style="5" customWidth="1"/>
    <col min="10" max="10" width="14.42578125" style="5" bestFit="1" customWidth="1"/>
    <col min="11" max="16384" width="10.85546875" style="5"/>
  </cols>
  <sheetData>
    <row r="1" spans="1:14" ht="26.25">
      <c r="A1" s="48" t="s">
        <v>65</v>
      </c>
      <c r="B1" s="48"/>
      <c r="C1" s="48"/>
      <c r="D1" s="48"/>
      <c r="E1" s="48"/>
      <c r="F1" s="48"/>
      <c r="G1" s="48"/>
      <c r="H1" s="48"/>
      <c r="I1" s="32"/>
      <c r="J1" s="32"/>
    </row>
    <row r="3" spans="1:14">
      <c r="B3" s="12" t="s">
        <v>7</v>
      </c>
      <c r="C3" s="13" t="s">
        <v>91</v>
      </c>
    </row>
    <row r="5" spans="1:14" ht="15">
      <c r="B5" s="36" t="s">
        <v>70</v>
      </c>
      <c r="C5" s="37"/>
      <c r="D5" s="37"/>
      <c r="E5" s="37"/>
      <c r="F5" s="37"/>
      <c r="G5" s="13"/>
      <c r="H5"/>
      <c r="I5"/>
      <c r="J5"/>
      <c r="K5"/>
      <c r="L5"/>
      <c r="M5"/>
      <c r="N5"/>
    </row>
    <row r="6" spans="1:14" s="15" customFormat="1" ht="15">
      <c r="B6" s="16" t="s">
        <v>92</v>
      </c>
      <c r="C6" s="16" t="s">
        <v>12</v>
      </c>
      <c r="D6" s="16" t="s">
        <v>14</v>
      </c>
      <c r="E6" s="45" t="s">
        <v>93</v>
      </c>
      <c r="F6" s="16" t="s">
        <v>26</v>
      </c>
      <c r="G6" s="13" t="s">
        <v>61</v>
      </c>
      <c r="H6"/>
      <c r="I6"/>
      <c r="J6"/>
      <c r="K6"/>
      <c r="L6"/>
      <c r="M6"/>
      <c r="N6"/>
    </row>
    <row r="7" spans="1:14" ht="15">
      <c r="B7" s="13" t="s">
        <v>90</v>
      </c>
      <c r="C7" s="13"/>
      <c r="D7" s="13"/>
      <c r="E7" s="13"/>
      <c r="F7" s="13"/>
      <c r="G7" s="17"/>
      <c r="H7"/>
      <c r="I7"/>
      <c r="J7"/>
      <c r="K7"/>
      <c r="L7"/>
      <c r="M7"/>
      <c r="N7"/>
    </row>
    <row r="8" spans="1:14" ht="15">
      <c r="B8"/>
      <c r="C8"/>
      <c r="D8"/>
      <c r="E8"/>
      <c r="F8"/>
      <c r="G8"/>
      <c r="H8"/>
      <c r="I8"/>
      <c r="J8"/>
      <c r="K8"/>
      <c r="L8"/>
      <c r="M8"/>
      <c r="N8"/>
    </row>
    <row r="9" spans="1:14" ht="15">
      <c r="B9"/>
      <c r="C9"/>
      <c r="D9"/>
      <c r="E9"/>
      <c r="F9"/>
      <c r="G9"/>
      <c r="H9"/>
      <c r="I9"/>
      <c r="J9"/>
      <c r="K9"/>
      <c r="L9"/>
      <c r="M9"/>
      <c r="N9"/>
    </row>
    <row r="10" spans="1:14" ht="15">
      <c r="B10"/>
      <c r="C10"/>
      <c r="D10"/>
      <c r="E10"/>
      <c r="F10"/>
      <c r="G10"/>
      <c r="H10"/>
      <c r="I10" s="17"/>
      <c r="J10"/>
      <c r="K10"/>
      <c r="L10"/>
      <c r="M10"/>
      <c r="N10"/>
    </row>
    <row r="11" spans="1:14" ht="15">
      <c r="B11"/>
      <c r="C11"/>
      <c r="D11"/>
      <c r="E11"/>
      <c r="F11"/>
      <c r="G11"/>
      <c r="H11"/>
      <c r="I11"/>
      <c r="J11"/>
      <c r="K11"/>
      <c r="L11"/>
      <c r="M11"/>
      <c r="N11"/>
    </row>
    <row r="12" spans="1:14" ht="15">
      <c r="B12"/>
      <c r="C12"/>
      <c r="D12"/>
      <c r="E12"/>
      <c r="F12"/>
      <c r="G12"/>
      <c r="H12"/>
      <c r="I12"/>
      <c r="J12"/>
      <c r="K12"/>
      <c r="L12"/>
      <c r="M12"/>
      <c r="N12"/>
    </row>
    <row r="13" spans="1:14" ht="15">
      <c r="B13"/>
      <c r="C13"/>
      <c r="D13"/>
      <c r="E13"/>
      <c r="F13"/>
      <c r="G13"/>
      <c r="H13"/>
      <c r="I13"/>
      <c r="J13"/>
      <c r="K13"/>
      <c r="L13"/>
      <c r="M13"/>
      <c r="N13"/>
    </row>
    <row r="14" spans="1:14" ht="15">
      <c r="B14"/>
      <c r="C14"/>
      <c r="D14"/>
      <c r="E14"/>
      <c r="F14"/>
      <c r="G14"/>
      <c r="H14"/>
      <c r="I14"/>
      <c r="J14"/>
      <c r="K14"/>
      <c r="L14"/>
      <c r="M14"/>
      <c r="N14"/>
    </row>
    <row r="15" spans="1:14" ht="15">
      <c r="B15"/>
      <c r="C15"/>
      <c r="D15"/>
      <c r="E15"/>
      <c r="F15"/>
      <c r="G15"/>
      <c r="H15"/>
      <c r="I15"/>
      <c r="J15"/>
      <c r="K15"/>
      <c r="L15"/>
      <c r="M15"/>
      <c r="N15"/>
    </row>
    <row r="16" spans="1:14" ht="15">
      <c r="B16"/>
      <c r="C16"/>
      <c r="D16"/>
      <c r="E16"/>
      <c r="F16"/>
      <c r="G16"/>
      <c r="H16"/>
      <c r="I16"/>
      <c r="J16"/>
      <c r="K16"/>
      <c r="L16"/>
      <c r="M16"/>
      <c r="N16"/>
    </row>
    <row r="17" spans="2:14" ht="15">
      <c r="B17"/>
      <c r="C17"/>
      <c r="D17"/>
      <c r="E17"/>
      <c r="F17"/>
      <c r="G17"/>
      <c r="H17"/>
      <c r="I17"/>
      <c r="J17"/>
      <c r="K17"/>
      <c r="L17"/>
      <c r="M17"/>
      <c r="N17"/>
    </row>
    <row r="18" spans="2:14" ht="15">
      <c r="B18"/>
      <c r="C18"/>
      <c r="D18"/>
      <c r="E18"/>
      <c r="F18"/>
      <c r="G18"/>
      <c r="H18"/>
      <c r="I18"/>
      <c r="J18"/>
      <c r="K18"/>
      <c r="L18"/>
      <c r="M18"/>
      <c r="N18"/>
    </row>
    <row r="19" spans="2:14">
      <c r="C19" s="5"/>
      <c r="D19" s="5"/>
      <c r="E19" s="5"/>
      <c r="F19" s="5"/>
    </row>
    <row r="20" spans="2:14">
      <c r="C20" s="5"/>
      <c r="D20" s="5"/>
      <c r="E20" s="5"/>
      <c r="F20" s="5"/>
    </row>
    <row r="21" spans="2:14">
      <c r="C21" s="5"/>
      <c r="D21" s="5"/>
      <c r="E21" s="5"/>
      <c r="F21" s="5"/>
    </row>
    <row r="22" spans="2:14">
      <c r="C22" s="5"/>
      <c r="D22" s="5"/>
      <c r="E22" s="5"/>
      <c r="F22" s="5"/>
    </row>
    <row r="23" spans="2:14">
      <c r="C23" s="5"/>
      <c r="D23" s="5"/>
      <c r="E23" s="5"/>
      <c r="F23" s="5"/>
    </row>
    <row r="24" spans="2:14">
      <c r="C24" s="5"/>
      <c r="D24" s="5"/>
      <c r="E24" s="5"/>
      <c r="F24" s="5"/>
    </row>
    <row r="25" spans="2:14">
      <c r="C25" s="5"/>
      <c r="D25" s="5"/>
      <c r="E25" s="5"/>
      <c r="F25" s="5"/>
    </row>
    <row r="26" spans="2:14">
      <c r="C26" s="5"/>
      <c r="D26" s="5"/>
      <c r="E26" s="5"/>
      <c r="F26" s="5"/>
    </row>
    <row r="27" spans="2:14">
      <c r="C27" s="5"/>
      <c r="D27" s="5"/>
      <c r="E27" s="5"/>
      <c r="F27" s="5"/>
    </row>
    <row r="28" spans="2:14">
      <c r="C28" s="5"/>
      <c r="D28" s="5"/>
      <c r="E28" s="5"/>
      <c r="F28" s="5"/>
    </row>
    <row r="29" spans="2:14">
      <c r="C29" s="5"/>
      <c r="D29" s="5"/>
      <c r="E29" s="5"/>
      <c r="F29" s="5"/>
    </row>
    <row r="30" spans="2:14">
      <c r="C30" s="5"/>
      <c r="D30" s="5"/>
      <c r="E30" s="5"/>
      <c r="F30" s="5"/>
    </row>
    <row r="31" spans="2:14">
      <c r="C31" s="5"/>
      <c r="D31" s="5"/>
      <c r="E31" s="5"/>
      <c r="F31" s="5"/>
    </row>
    <row r="32" spans="2:14">
      <c r="C32" s="5"/>
      <c r="D32" s="5"/>
      <c r="E32" s="5"/>
      <c r="F32" s="5"/>
    </row>
    <row r="33" s="5" customFormat="1"/>
    <row r="34" s="5" customFormat="1"/>
    <row r="35" s="5" customFormat="1"/>
    <row r="36" s="5" customFormat="1"/>
    <row r="37" s="5" customFormat="1"/>
    <row r="38" s="5" customFormat="1"/>
    <row r="39" s="5" customFormat="1"/>
    <row r="40" s="5" customFormat="1"/>
    <row r="41" s="5" customFormat="1"/>
    <row r="42" s="5" customFormat="1"/>
    <row r="43" s="5" customFormat="1"/>
    <row r="44" s="5" customFormat="1"/>
    <row r="45" s="5" customFormat="1"/>
    <row r="46" s="5" customFormat="1"/>
    <row r="47" s="5" customFormat="1"/>
    <row r="48" s="5" customFormat="1"/>
    <row r="49" s="5" customFormat="1"/>
    <row r="50" s="5" customFormat="1"/>
    <row r="51" s="5" customFormat="1"/>
    <row r="52" s="5" customFormat="1"/>
    <row r="53" s="5" customFormat="1"/>
    <row r="54" s="5" customFormat="1"/>
    <row r="55" s="5" customFormat="1"/>
    <row r="56" s="5" customFormat="1"/>
    <row r="57" s="5" customFormat="1"/>
    <row r="58" s="5" customFormat="1"/>
    <row r="59" s="5" customFormat="1"/>
    <row r="60" s="5" customFormat="1"/>
    <row r="61" s="5" customFormat="1"/>
    <row r="62" s="5" customFormat="1"/>
    <row r="63" s="5" customFormat="1"/>
    <row r="64" s="5" customFormat="1"/>
    <row r="65" s="5" customFormat="1"/>
    <row r="66" s="5" customFormat="1"/>
    <row r="67" s="5" customFormat="1"/>
    <row r="68" s="5" customFormat="1"/>
    <row r="69" s="5" customFormat="1"/>
    <row r="70" s="5" customFormat="1"/>
    <row r="71" s="5" customFormat="1"/>
    <row r="72" s="5" customFormat="1"/>
    <row r="73" s="5" customFormat="1"/>
    <row r="74" s="5" customFormat="1"/>
    <row r="75" s="5" customFormat="1"/>
    <row r="76" s="5" customFormat="1"/>
    <row r="77" s="5" customFormat="1"/>
    <row r="78" s="5" customFormat="1"/>
    <row r="79" s="5" customFormat="1"/>
    <row r="80" s="5" customFormat="1"/>
    <row r="81" s="5" customFormat="1"/>
    <row r="82" s="5" customFormat="1"/>
    <row r="83" s="5" customFormat="1"/>
    <row r="84" s="5" customFormat="1"/>
    <row r="85" s="5" customFormat="1"/>
    <row r="86" s="5" customFormat="1"/>
    <row r="87" s="5" customFormat="1"/>
    <row r="88" s="5" customFormat="1"/>
    <row r="89" s="5" customFormat="1"/>
    <row r="90" s="5" customFormat="1"/>
    <row r="91" s="5" customFormat="1"/>
    <row r="92" s="5" customFormat="1"/>
    <row r="93" s="5" customFormat="1"/>
    <row r="94" s="5" customFormat="1"/>
    <row r="95" s="5" customFormat="1"/>
    <row r="96" s="5" customFormat="1"/>
    <row r="97" s="5" customFormat="1"/>
    <row r="98" s="5" customFormat="1"/>
    <row r="99" s="5" customFormat="1"/>
    <row r="100" s="5" customFormat="1"/>
    <row r="101" s="5" customFormat="1"/>
    <row r="102" s="5" customFormat="1"/>
    <row r="103" s="5" customFormat="1"/>
    <row r="104" s="5" customFormat="1"/>
    <row r="105" s="5" customFormat="1"/>
    <row r="106" s="5" customFormat="1"/>
    <row r="107" s="5" customFormat="1"/>
    <row r="108" s="5" customFormat="1"/>
    <row r="109" s="5" customFormat="1"/>
    <row r="110" s="5" customFormat="1"/>
    <row r="111" s="5" customFormat="1"/>
    <row r="112" s="5" customFormat="1"/>
    <row r="113" s="5" customFormat="1"/>
    <row r="114" s="5" customFormat="1"/>
    <row r="115" s="5" customFormat="1"/>
    <row r="116" s="5" customFormat="1"/>
    <row r="117" s="5" customFormat="1"/>
    <row r="118" s="5" customFormat="1"/>
    <row r="119" s="5" customFormat="1"/>
    <row r="120" s="5" customFormat="1"/>
    <row r="121" s="5" customFormat="1"/>
    <row r="122" s="5" customFormat="1"/>
    <row r="123" s="5" customFormat="1"/>
    <row r="124" s="5" customFormat="1"/>
    <row r="125" s="5" customFormat="1"/>
    <row r="126" s="5" customFormat="1"/>
    <row r="127" s="5" customFormat="1"/>
    <row r="128" s="5" customFormat="1"/>
    <row r="129" s="5" customFormat="1"/>
    <row r="130" s="5" customFormat="1"/>
    <row r="131" s="5" customFormat="1"/>
    <row r="132" s="5" customFormat="1"/>
    <row r="133" s="5" customFormat="1"/>
    <row r="134" s="5" customFormat="1"/>
    <row r="135" s="5" customFormat="1"/>
    <row r="136" s="5" customFormat="1"/>
    <row r="137" s="5" customFormat="1"/>
    <row r="138" s="5" customFormat="1"/>
    <row r="139" s="5" customFormat="1"/>
    <row r="140" s="5" customFormat="1"/>
    <row r="141" s="5" customFormat="1"/>
    <row r="142" s="5" customFormat="1"/>
    <row r="143" s="5" customFormat="1"/>
    <row r="144" s="5" customFormat="1"/>
    <row r="145" s="5" customFormat="1"/>
    <row r="146" s="5" customFormat="1"/>
    <row r="147" s="5" customFormat="1"/>
    <row r="148" s="5" customFormat="1"/>
    <row r="149" s="5" customFormat="1"/>
    <row r="150" s="5" customFormat="1"/>
    <row r="151" s="5" customFormat="1"/>
    <row r="152" s="5" customFormat="1"/>
    <row r="153" s="5" customFormat="1"/>
    <row r="154" s="5" customFormat="1"/>
    <row r="155" s="5" customFormat="1"/>
    <row r="156" s="5" customFormat="1"/>
    <row r="157" s="5" customFormat="1"/>
    <row r="158" s="5" customFormat="1"/>
    <row r="159" s="5" customFormat="1"/>
    <row r="160" s="5" customFormat="1"/>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sheetData>
  <mergeCells count="1">
    <mergeCell ref="A1:H1"/>
  </mergeCell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95"/>
  <sheetViews>
    <sheetView showGridLines="0" zoomScale="80" zoomScaleNormal="80" workbookViewId="0">
      <selection activeCell="F14" sqref="F14"/>
    </sheetView>
  </sheetViews>
  <sheetFormatPr baseColWidth="10" defaultColWidth="10.85546875" defaultRowHeight="12.75"/>
  <cols>
    <col min="1" max="1" width="6.5703125" style="5" customWidth="1"/>
    <col min="2" max="2" width="18.5703125" style="5" customWidth="1"/>
    <col min="3" max="3" width="21.5703125" style="6" customWidth="1"/>
    <col min="4" max="4" width="21.5703125" style="14" customWidth="1"/>
    <col min="5" max="5" width="23.5703125" style="14" customWidth="1"/>
    <col min="6" max="6" width="41.85546875" style="14" customWidth="1"/>
    <col min="7" max="7" width="15.5703125" style="5" customWidth="1"/>
    <col min="8" max="8" width="22.5703125" style="5" customWidth="1"/>
    <col min="9" max="9" width="12.5703125" style="5" customWidth="1"/>
    <col min="10" max="16384" width="10.85546875" style="5"/>
  </cols>
  <sheetData>
    <row r="1" spans="1:14" ht="26.25">
      <c r="A1" s="48" t="s">
        <v>66</v>
      </c>
      <c r="B1" s="48"/>
      <c r="C1" s="48"/>
      <c r="D1" s="48"/>
      <c r="E1" s="48"/>
      <c r="F1" s="48"/>
      <c r="G1" s="48"/>
      <c r="H1" s="48"/>
      <c r="I1" s="48"/>
    </row>
    <row r="3" spans="1:14">
      <c r="B3" s="12" t="s">
        <v>7</v>
      </c>
      <c r="C3" s="13" t="s">
        <v>91</v>
      </c>
    </row>
    <row r="5" spans="1:14" ht="15">
      <c r="B5" s="36" t="s">
        <v>70</v>
      </c>
      <c r="C5" s="37"/>
      <c r="D5" s="37"/>
      <c r="E5" s="37"/>
      <c r="F5" s="37"/>
      <c r="G5" s="13"/>
      <c r="H5"/>
      <c r="I5"/>
      <c r="J5"/>
      <c r="K5"/>
      <c r="L5"/>
      <c r="M5"/>
      <c r="N5"/>
    </row>
    <row r="6" spans="1:14" s="15" customFormat="1" ht="15">
      <c r="B6" s="16" t="s">
        <v>92</v>
      </c>
      <c r="C6" s="16" t="s">
        <v>12</v>
      </c>
      <c r="D6" s="16" t="s">
        <v>14</v>
      </c>
      <c r="E6" s="45" t="s">
        <v>93</v>
      </c>
      <c r="F6" s="16" t="s">
        <v>26</v>
      </c>
      <c r="G6" s="13" t="s">
        <v>61</v>
      </c>
      <c r="H6"/>
      <c r="I6"/>
      <c r="J6"/>
      <c r="K6"/>
      <c r="L6"/>
      <c r="M6"/>
      <c r="N6"/>
    </row>
    <row r="7" spans="1:14" ht="15">
      <c r="B7" s="13" t="s">
        <v>90</v>
      </c>
      <c r="C7" s="13"/>
      <c r="D7" s="13"/>
      <c r="E7" s="13"/>
      <c r="F7" s="13"/>
      <c r="G7" s="17"/>
      <c r="H7"/>
      <c r="I7"/>
      <c r="J7"/>
      <c r="K7"/>
      <c r="L7"/>
      <c r="M7"/>
      <c r="N7"/>
    </row>
    <row r="8" spans="1:14" ht="15">
      <c r="B8"/>
      <c r="C8"/>
      <c r="D8"/>
      <c r="E8"/>
      <c r="F8"/>
      <c r="G8"/>
      <c r="H8"/>
      <c r="I8"/>
      <c r="J8"/>
      <c r="K8"/>
      <c r="L8"/>
      <c r="M8"/>
      <c r="N8"/>
    </row>
    <row r="9" spans="1:14" ht="15">
      <c r="B9"/>
      <c r="C9"/>
      <c r="D9"/>
      <c r="E9"/>
      <c r="F9"/>
      <c r="G9"/>
      <c r="H9"/>
      <c r="I9"/>
      <c r="J9"/>
      <c r="K9"/>
      <c r="L9"/>
      <c r="M9"/>
      <c r="N9"/>
    </row>
    <row r="10" spans="1:14" ht="15">
      <c r="B10"/>
      <c r="C10"/>
      <c r="D10"/>
      <c r="E10"/>
      <c r="F10"/>
      <c r="G10"/>
      <c r="H10"/>
      <c r="I10"/>
      <c r="J10"/>
      <c r="K10"/>
      <c r="L10"/>
      <c r="M10"/>
      <c r="N10"/>
    </row>
    <row r="11" spans="1:14">
      <c r="C11" s="5"/>
      <c r="D11" s="5"/>
      <c r="E11" s="5"/>
      <c r="F11" s="5"/>
    </row>
    <row r="12" spans="1:14">
      <c r="C12" s="5"/>
      <c r="D12" s="5"/>
      <c r="E12" s="5"/>
      <c r="F12" s="5"/>
    </row>
    <row r="13" spans="1:14">
      <c r="C13" s="5"/>
      <c r="D13" s="5"/>
      <c r="E13" s="5"/>
      <c r="F13" s="5"/>
    </row>
    <row r="14" spans="1:14">
      <c r="C14" s="5"/>
      <c r="D14" s="5"/>
      <c r="E14" s="5"/>
      <c r="F14" s="5"/>
    </row>
    <row r="15" spans="1:14">
      <c r="C15" s="5"/>
      <c r="D15" s="5"/>
      <c r="E15" s="5"/>
      <c r="F15" s="5"/>
    </row>
    <row r="16" spans="1:14">
      <c r="C16" s="5"/>
      <c r="D16" s="5"/>
      <c r="E16" s="5"/>
      <c r="F16" s="5"/>
    </row>
    <row r="17" s="5" customFormat="1"/>
    <row r="18" s="5" customFormat="1"/>
    <row r="19" s="5" customFormat="1"/>
    <row r="20" s="5" customFormat="1"/>
    <row r="21" s="5" customFormat="1"/>
    <row r="22" s="5" customFormat="1"/>
    <row r="23" s="5" customFormat="1"/>
    <row r="24" s="5" customFormat="1"/>
    <row r="25" s="5" customFormat="1"/>
    <row r="26" s="5" customFormat="1"/>
    <row r="27" s="5" customFormat="1"/>
    <row r="28" s="5" customFormat="1"/>
    <row r="29" s="5" customFormat="1"/>
    <row r="30" s="5" customFormat="1"/>
    <row r="31" s="5" customFormat="1"/>
    <row r="32" s="5" customFormat="1"/>
    <row r="33" s="5" customFormat="1"/>
    <row r="34" s="5" customFormat="1"/>
    <row r="35" s="5" customFormat="1"/>
    <row r="36" s="5" customFormat="1"/>
    <row r="37" s="5" customFormat="1"/>
    <row r="38" s="5" customFormat="1"/>
    <row r="39" s="5" customFormat="1"/>
    <row r="40" s="5" customFormat="1"/>
    <row r="41" s="5" customFormat="1"/>
    <row r="42" s="5" customFormat="1"/>
    <row r="43" s="5" customFormat="1"/>
    <row r="44" s="5" customFormat="1"/>
    <row r="45" s="5" customFormat="1"/>
    <row r="46" s="5" customFormat="1"/>
    <row r="47" s="5" customFormat="1"/>
    <row r="48" s="5" customFormat="1"/>
    <row r="49" s="5" customFormat="1"/>
    <row r="50" s="5" customFormat="1"/>
    <row r="51" s="5" customFormat="1"/>
    <row r="52" s="5" customFormat="1"/>
    <row r="53" s="5" customFormat="1"/>
    <row r="54" s="5" customFormat="1"/>
    <row r="55" s="5" customFormat="1"/>
    <row r="56" s="5" customFormat="1"/>
    <row r="57" s="5" customFormat="1"/>
    <row r="58" s="5" customFormat="1"/>
    <row r="59" s="5" customFormat="1"/>
    <row r="60" s="5" customFormat="1"/>
    <row r="61" s="5" customFormat="1"/>
    <row r="62" s="5" customFormat="1"/>
    <row r="63" s="5" customFormat="1"/>
    <row r="64" s="5" customFormat="1"/>
    <row r="65" s="5" customFormat="1"/>
    <row r="66" s="5" customFormat="1"/>
    <row r="67" s="5" customFormat="1"/>
    <row r="68" s="5" customFormat="1"/>
    <row r="69" s="5" customFormat="1"/>
    <row r="70" s="5" customFormat="1"/>
    <row r="71" s="5" customFormat="1"/>
    <row r="72" s="5" customFormat="1"/>
    <row r="73" s="5" customFormat="1"/>
    <row r="74" s="5" customFormat="1"/>
    <row r="75" s="5" customFormat="1"/>
    <row r="76" s="5" customFormat="1"/>
    <row r="77" s="5" customFormat="1"/>
    <row r="78" s="5" customFormat="1"/>
    <row r="79" s="5" customFormat="1"/>
    <row r="80" s="5" customFormat="1"/>
    <row r="81" s="5" customFormat="1"/>
    <row r="82" s="5" customFormat="1"/>
    <row r="83" s="5" customFormat="1"/>
    <row r="84" s="5" customFormat="1"/>
    <row r="85" s="5" customFormat="1"/>
    <row r="86" s="5" customFormat="1"/>
    <row r="87" s="5" customFormat="1"/>
    <row r="88" s="5" customFormat="1"/>
    <row r="89" s="5" customFormat="1"/>
    <row r="90" s="5" customFormat="1"/>
    <row r="91" s="5" customFormat="1"/>
    <row r="92" s="5" customFormat="1"/>
    <row r="93" s="5" customFormat="1"/>
    <row r="94" s="5" customFormat="1"/>
    <row r="95" s="5" customFormat="1"/>
    <row r="96" s="5" customFormat="1"/>
    <row r="97" s="5" customFormat="1"/>
    <row r="98" s="5" customFormat="1"/>
    <row r="99" s="5" customFormat="1"/>
    <row r="100" s="5" customFormat="1"/>
    <row r="101" s="5" customFormat="1"/>
    <row r="102" s="5" customFormat="1"/>
    <row r="103" s="5" customFormat="1"/>
    <row r="104" s="5" customFormat="1"/>
    <row r="105" s="5" customFormat="1"/>
    <row r="106" s="5" customFormat="1"/>
    <row r="107" s="5" customFormat="1"/>
    <row r="108" s="5" customFormat="1"/>
    <row r="109" s="5" customFormat="1"/>
    <row r="110" s="5" customFormat="1"/>
    <row r="111" s="5" customFormat="1"/>
    <row r="112" s="5" customFormat="1"/>
    <row r="113" s="5" customFormat="1"/>
    <row r="114" s="5" customFormat="1"/>
    <row r="115" s="5" customFormat="1"/>
    <row r="116" s="5" customFormat="1"/>
    <row r="117" s="5" customFormat="1"/>
    <row r="118" s="5" customFormat="1"/>
    <row r="119" s="5" customFormat="1"/>
    <row r="120" s="5" customFormat="1"/>
    <row r="121" s="5" customFormat="1"/>
    <row r="122" s="5" customFormat="1"/>
    <row r="123" s="5" customFormat="1"/>
    <row r="124" s="5" customFormat="1"/>
    <row r="125" s="5" customFormat="1"/>
    <row r="126" s="5" customFormat="1"/>
    <row r="127" s="5" customFormat="1"/>
    <row r="128" s="5" customFormat="1"/>
    <row r="129" s="5" customFormat="1"/>
    <row r="130" s="5" customFormat="1"/>
    <row r="131" s="5" customFormat="1"/>
    <row r="132" s="5" customFormat="1"/>
    <row r="133" s="5" customFormat="1"/>
    <row r="134" s="5" customFormat="1"/>
    <row r="135" s="5" customFormat="1"/>
    <row r="136" s="5" customFormat="1"/>
    <row r="137" s="5" customFormat="1"/>
    <row r="138" s="5" customFormat="1"/>
    <row r="139" s="5" customFormat="1"/>
    <row r="140" s="5" customFormat="1"/>
    <row r="141" s="5" customFormat="1"/>
    <row r="142" s="5" customFormat="1"/>
    <row r="143" s="5" customFormat="1"/>
    <row r="144" s="5" customFormat="1"/>
    <row r="145" s="5" customFormat="1"/>
    <row r="146" s="5" customFormat="1"/>
    <row r="147" s="5" customFormat="1"/>
    <row r="148" s="5" customFormat="1"/>
    <row r="149" s="5" customFormat="1"/>
    <row r="150" s="5" customFormat="1"/>
    <row r="151" s="5" customFormat="1"/>
    <row r="152" s="5" customFormat="1"/>
    <row r="153" s="5" customFormat="1"/>
    <row r="154" s="5" customFormat="1"/>
    <row r="155" s="5" customFormat="1"/>
    <row r="156" s="5" customFormat="1"/>
    <row r="157" s="5" customFormat="1"/>
    <row r="158" s="5" customFormat="1"/>
    <row r="159" s="5" customFormat="1"/>
    <row r="160" s="5" customFormat="1"/>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sheetData>
  <mergeCells count="1">
    <mergeCell ref="A1:I1"/>
  </mergeCell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95"/>
  <sheetViews>
    <sheetView showGridLines="0" zoomScale="80" zoomScaleNormal="80" workbookViewId="0">
      <selection activeCell="I13" sqref="I13"/>
    </sheetView>
  </sheetViews>
  <sheetFormatPr baseColWidth="10" defaultColWidth="10.85546875" defaultRowHeight="12.75"/>
  <cols>
    <col min="1" max="1" width="2.140625" style="5" customWidth="1"/>
    <col min="2" max="2" width="26.42578125" style="5" customWidth="1"/>
    <col min="3" max="3" width="21.5703125" style="6" customWidth="1"/>
    <col min="4" max="4" width="21.5703125" style="14" customWidth="1"/>
    <col min="5" max="6" width="15.5703125" style="14" customWidth="1"/>
    <col min="7" max="7" width="47.42578125" style="5" customWidth="1"/>
    <col min="8" max="8" width="15.42578125" style="5" customWidth="1"/>
    <col min="9" max="9" width="18.28515625" style="5" customWidth="1"/>
    <col min="10" max="16384" width="10.85546875" style="5"/>
  </cols>
  <sheetData>
    <row r="1" spans="1:14" ht="26.25">
      <c r="A1" s="48" t="s">
        <v>89</v>
      </c>
      <c r="B1" s="48"/>
      <c r="C1" s="48"/>
      <c r="D1" s="48"/>
      <c r="E1" s="48"/>
      <c r="F1" s="48"/>
      <c r="G1" s="48"/>
      <c r="H1" s="48"/>
      <c r="I1" s="48"/>
    </row>
    <row r="3" spans="1:14" ht="15">
      <c r="B3"/>
      <c r="C3"/>
    </row>
    <row r="5" spans="1:14" ht="15">
      <c r="B5" s="36" t="s">
        <v>70</v>
      </c>
      <c r="C5" s="37"/>
      <c r="D5" s="37"/>
      <c r="E5" s="37"/>
      <c r="F5" s="37"/>
      <c r="G5" s="37"/>
      <c r="H5" s="13"/>
      <c r="I5"/>
      <c r="J5"/>
      <c r="K5"/>
      <c r="L5"/>
      <c r="M5"/>
      <c r="N5"/>
    </row>
    <row r="6" spans="1:14" s="15" customFormat="1" ht="15">
      <c r="B6" s="12" t="s">
        <v>7</v>
      </c>
      <c r="C6" s="16" t="s">
        <v>92</v>
      </c>
      <c r="D6" s="16" t="s">
        <v>12</v>
      </c>
      <c r="E6" s="16" t="s">
        <v>14</v>
      </c>
      <c r="F6" s="45" t="s">
        <v>93</v>
      </c>
      <c r="G6" s="16" t="s">
        <v>26</v>
      </c>
      <c r="H6" s="13" t="s">
        <v>61</v>
      </c>
      <c r="I6"/>
      <c r="J6"/>
      <c r="K6"/>
      <c r="L6"/>
      <c r="M6"/>
      <c r="N6"/>
    </row>
    <row r="7" spans="1:14" ht="15">
      <c r="B7" s="13" t="s">
        <v>90</v>
      </c>
      <c r="C7" s="13"/>
      <c r="D7" s="13"/>
      <c r="E7" s="13"/>
      <c r="F7" s="13"/>
      <c r="G7" s="13"/>
      <c r="H7" s="17"/>
      <c r="I7"/>
      <c r="J7"/>
      <c r="K7"/>
      <c r="L7"/>
      <c r="M7"/>
      <c r="N7"/>
    </row>
    <row r="8" spans="1:14" ht="15">
      <c r="B8"/>
      <c r="C8"/>
      <c r="D8"/>
      <c r="E8"/>
      <c r="F8"/>
      <c r="G8"/>
      <c r="H8"/>
      <c r="I8"/>
      <c r="J8"/>
      <c r="K8"/>
      <c r="L8"/>
      <c r="M8"/>
      <c r="N8"/>
    </row>
    <row r="9" spans="1:14" ht="15">
      <c r="B9"/>
      <c r="C9"/>
      <c r="D9"/>
      <c r="E9"/>
      <c r="F9"/>
      <c r="G9"/>
      <c r="H9"/>
      <c r="I9"/>
      <c r="J9"/>
      <c r="K9"/>
      <c r="L9"/>
      <c r="M9"/>
      <c r="N9"/>
    </row>
    <row r="10" spans="1:14" ht="15">
      <c r="B10"/>
      <c r="C10"/>
      <c r="D10"/>
      <c r="E10"/>
      <c r="F10"/>
      <c r="G10"/>
      <c r="H10"/>
      <c r="I10"/>
      <c r="J10"/>
      <c r="K10"/>
      <c r="L10"/>
      <c r="M10"/>
      <c r="N10"/>
    </row>
    <row r="11" spans="1:14">
      <c r="C11" s="5"/>
      <c r="D11" s="5"/>
      <c r="E11" s="5"/>
      <c r="F11" s="5"/>
    </row>
    <row r="12" spans="1:14">
      <c r="C12" s="5"/>
      <c r="D12" s="5"/>
      <c r="E12" s="5"/>
      <c r="F12" s="5"/>
    </row>
    <row r="13" spans="1:14">
      <c r="C13" s="5"/>
      <c r="D13" s="5"/>
      <c r="E13" s="5"/>
      <c r="F13" s="5"/>
    </row>
    <row r="14" spans="1:14">
      <c r="C14" s="5"/>
      <c r="D14" s="5"/>
      <c r="E14" s="5"/>
      <c r="F14" s="5"/>
    </row>
    <row r="15" spans="1:14">
      <c r="C15" s="5"/>
      <c r="D15" s="5"/>
      <c r="E15" s="5"/>
      <c r="F15" s="5"/>
    </row>
    <row r="16" spans="1:14">
      <c r="C16" s="5"/>
      <c r="D16" s="5"/>
      <c r="E16" s="5"/>
      <c r="F16" s="5"/>
    </row>
    <row r="17" s="5" customFormat="1"/>
    <row r="18" s="5" customFormat="1"/>
    <row r="19" s="5" customFormat="1"/>
    <row r="20" s="5" customFormat="1"/>
    <row r="21" s="5" customFormat="1"/>
    <row r="22" s="5" customFormat="1"/>
    <row r="23" s="5" customFormat="1"/>
    <row r="24" s="5" customFormat="1"/>
    <row r="25" s="5" customFormat="1"/>
    <row r="26" s="5" customFormat="1"/>
    <row r="27" s="5" customFormat="1"/>
    <row r="28" s="5" customFormat="1"/>
    <row r="29" s="5" customFormat="1"/>
    <row r="30" s="5" customFormat="1"/>
    <row r="31" s="5" customFormat="1"/>
    <row r="32" s="5" customFormat="1"/>
    <row r="33" s="5" customFormat="1"/>
    <row r="34" s="5" customFormat="1"/>
    <row r="35" s="5" customFormat="1"/>
    <row r="36" s="5" customFormat="1"/>
    <row r="37" s="5" customFormat="1"/>
    <row r="38" s="5" customFormat="1"/>
    <row r="39" s="5" customFormat="1"/>
    <row r="40" s="5" customFormat="1"/>
    <row r="41" s="5" customFormat="1"/>
    <row r="42" s="5" customFormat="1"/>
    <row r="43" s="5" customFormat="1"/>
    <row r="44" s="5" customFormat="1"/>
    <row r="45" s="5" customFormat="1"/>
    <row r="46" s="5" customFormat="1"/>
    <row r="47" s="5" customFormat="1"/>
    <row r="48" s="5" customFormat="1"/>
    <row r="49" s="5" customFormat="1"/>
    <row r="50" s="5" customFormat="1"/>
    <row r="51" s="5" customFormat="1"/>
    <row r="52" s="5" customFormat="1"/>
    <row r="53" s="5" customFormat="1"/>
    <row r="54" s="5" customFormat="1"/>
    <row r="55" s="5" customFormat="1"/>
    <row r="56" s="5" customFormat="1"/>
    <row r="57" s="5" customFormat="1"/>
    <row r="58" s="5" customFormat="1"/>
    <row r="59" s="5" customFormat="1"/>
    <row r="60" s="5" customFormat="1"/>
    <row r="61" s="5" customFormat="1"/>
    <row r="62" s="5" customFormat="1"/>
    <row r="63" s="5" customFormat="1"/>
    <row r="64" s="5" customFormat="1"/>
    <row r="65" s="5" customFormat="1"/>
    <row r="66" s="5" customFormat="1"/>
    <row r="67" s="5" customFormat="1"/>
    <row r="68" s="5" customFormat="1"/>
    <row r="69" s="5" customFormat="1"/>
    <row r="70" s="5" customFormat="1"/>
    <row r="71" s="5" customFormat="1"/>
    <row r="72" s="5" customFormat="1"/>
    <row r="73" s="5" customFormat="1"/>
    <row r="74" s="5" customFormat="1"/>
    <row r="75" s="5" customFormat="1"/>
    <row r="76" s="5" customFormat="1"/>
    <row r="77" s="5" customFormat="1"/>
    <row r="78" s="5" customFormat="1"/>
    <row r="79" s="5" customFormat="1"/>
    <row r="80" s="5" customFormat="1"/>
    <row r="81" s="5" customFormat="1"/>
    <row r="82" s="5" customFormat="1"/>
    <row r="83" s="5" customFormat="1"/>
    <row r="84" s="5" customFormat="1"/>
    <row r="85" s="5" customFormat="1"/>
    <row r="86" s="5" customFormat="1"/>
    <row r="87" s="5" customFormat="1"/>
    <row r="88" s="5" customFormat="1"/>
    <row r="89" s="5" customFormat="1"/>
    <row r="90" s="5" customFormat="1"/>
    <row r="91" s="5" customFormat="1"/>
    <row r="92" s="5" customFormat="1"/>
    <row r="93" s="5" customFormat="1"/>
    <row r="94" s="5" customFormat="1"/>
    <row r="95" s="5" customFormat="1"/>
    <row r="96" s="5" customFormat="1"/>
    <row r="97" s="5" customFormat="1"/>
    <row r="98" s="5" customFormat="1"/>
    <row r="99" s="5" customFormat="1"/>
    <row r="100" s="5" customFormat="1"/>
    <row r="101" s="5" customFormat="1"/>
    <row r="102" s="5" customFormat="1"/>
    <row r="103" s="5" customFormat="1"/>
    <row r="104" s="5" customFormat="1"/>
    <row r="105" s="5" customFormat="1"/>
    <row r="106" s="5" customFormat="1"/>
    <row r="107" s="5" customFormat="1"/>
    <row r="108" s="5" customFormat="1"/>
    <row r="109" s="5" customFormat="1"/>
    <row r="110" s="5" customFormat="1"/>
    <row r="111" s="5" customFormat="1"/>
    <row r="112" s="5" customFormat="1"/>
    <row r="113" s="5" customFormat="1"/>
    <row r="114" s="5" customFormat="1"/>
    <row r="115" s="5" customFormat="1"/>
    <row r="116" s="5" customFormat="1"/>
    <row r="117" s="5" customFormat="1"/>
    <row r="118" s="5" customFormat="1"/>
    <row r="119" s="5" customFormat="1"/>
    <row r="120" s="5" customFormat="1"/>
    <row r="121" s="5" customFormat="1"/>
    <row r="122" s="5" customFormat="1"/>
    <row r="123" s="5" customFormat="1"/>
    <row r="124" s="5" customFormat="1"/>
    <row r="125" s="5" customFormat="1"/>
    <row r="126" s="5" customFormat="1"/>
    <row r="127" s="5" customFormat="1"/>
    <row r="128" s="5" customFormat="1"/>
    <row r="129" s="5" customFormat="1"/>
    <row r="130" s="5" customFormat="1"/>
    <row r="131" s="5" customFormat="1"/>
    <row r="132" s="5" customFormat="1"/>
    <row r="133" s="5" customFormat="1"/>
    <row r="134" s="5" customFormat="1"/>
    <row r="135" s="5" customFormat="1"/>
    <row r="136" s="5" customFormat="1"/>
    <row r="137" s="5" customFormat="1"/>
    <row r="138" s="5" customFormat="1"/>
    <row r="139" s="5" customFormat="1"/>
    <row r="140" s="5" customFormat="1"/>
    <row r="141" s="5" customFormat="1"/>
    <row r="142" s="5" customFormat="1"/>
    <row r="143" s="5" customFormat="1"/>
    <row r="144" s="5" customFormat="1"/>
    <row r="145" s="5" customFormat="1"/>
    <row r="146" s="5" customFormat="1"/>
    <row r="147" s="5" customFormat="1"/>
    <row r="148" s="5" customFormat="1"/>
    <row r="149" s="5" customFormat="1"/>
    <row r="150" s="5" customFormat="1"/>
    <row r="151" s="5" customFormat="1"/>
    <row r="152" s="5" customFormat="1"/>
    <row r="153" s="5" customFormat="1"/>
    <row r="154" s="5" customFormat="1"/>
    <row r="155" s="5" customFormat="1"/>
    <row r="156" s="5" customFormat="1"/>
    <row r="157" s="5" customFormat="1"/>
    <row r="158" s="5" customFormat="1"/>
    <row r="159" s="5" customFormat="1"/>
    <row r="160" s="5" customFormat="1"/>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sheetData>
  <mergeCells count="1">
    <mergeCell ref="A1:I1"/>
  </mergeCell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
  <sheetViews>
    <sheetView showGridLines="0" zoomScale="80" zoomScaleNormal="80" workbookViewId="0">
      <selection activeCell="B2" sqref="B1:B1048576"/>
    </sheetView>
  </sheetViews>
  <sheetFormatPr baseColWidth="10" defaultColWidth="10.85546875" defaultRowHeight="12"/>
  <cols>
    <col min="1" max="1" width="5.5703125" style="10" customWidth="1"/>
    <col min="2" max="2" width="15.85546875" style="10" customWidth="1"/>
    <col min="3" max="3" width="13.85546875" style="10" customWidth="1"/>
    <col min="4" max="4" width="19.140625" style="10" customWidth="1"/>
    <col min="5" max="5" width="15.85546875" style="10" bestFit="1" customWidth="1"/>
    <col min="6" max="6" width="1.42578125" style="10" customWidth="1"/>
    <col min="7" max="16384" width="10.85546875" style="10"/>
  </cols>
  <sheetData>
    <row r="1" spans="1:8" ht="26.25">
      <c r="A1" s="48" t="s">
        <v>71</v>
      </c>
      <c r="B1" s="48"/>
      <c r="C1" s="48"/>
      <c r="D1" s="48"/>
      <c r="E1" s="48"/>
      <c r="F1" s="48"/>
      <c r="G1" s="48"/>
      <c r="H1" s="48"/>
    </row>
    <row r="2" spans="1:8" ht="15">
      <c r="A2"/>
      <c r="B2"/>
      <c r="C2"/>
      <c r="D2"/>
      <c r="E2"/>
      <c r="F2"/>
      <c r="G2"/>
      <c r="H2"/>
    </row>
    <row r="3" spans="1:8" ht="24">
      <c r="B3" s="9" t="s">
        <v>14</v>
      </c>
      <c r="C3" s="9" t="s">
        <v>67</v>
      </c>
      <c r="D3" s="9" t="s">
        <v>13</v>
      </c>
    </row>
    <row r="4" spans="1:8" s="11" customFormat="1">
      <c r="B4" s="8"/>
      <c r="C4" s="8"/>
      <c r="D4" s="8"/>
    </row>
  </sheetData>
  <mergeCells count="1">
    <mergeCell ref="A1:H1"/>
  </mergeCells>
  <pageMargins left="0.7" right="0.7" top="0.75" bottom="0.75" header="0.3" footer="0.3"/>
  <pageSetup orientation="portrait" r:id="rId1"/>
  <customProperties>
    <customPr name="_pios_id" r:id="rId2"/>
  </customProperties>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a28ff33b-818c-4026-831b-8d73eb4dad2d" xsi:nil="true"/>
    <TaxCatchAll xmlns="2fbad8de-0a7b-485b-82ad-f06cca0c6faf" xsi:nil="true"/>
    <lcf76f155ced4ddcb4097134ff3c332f xmlns="a28ff33b-818c-4026-831b-8d73eb4dad2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9F9ECA4F172C040A25C0A302518F164" ma:contentTypeVersion="19" ma:contentTypeDescription="Create a new document." ma:contentTypeScope="" ma:versionID="1b09076abb9595163cd2166a5580bd35">
  <xsd:schema xmlns:xsd="http://www.w3.org/2001/XMLSchema" xmlns:xs="http://www.w3.org/2001/XMLSchema" xmlns:p="http://schemas.microsoft.com/office/2006/metadata/properties" xmlns:ns2="a28ff33b-818c-4026-831b-8d73eb4dad2d" xmlns:ns3="2fbad8de-0a7b-485b-82ad-f06cca0c6faf" targetNamespace="http://schemas.microsoft.com/office/2006/metadata/properties" ma:root="true" ma:fieldsID="5f3db4ee3c8c0e761608ca437f777866" ns2:_="" ns3:_="">
    <xsd:import namespace="a28ff33b-818c-4026-831b-8d73eb4dad2d"/>
    <xsd:import namespace="2fbad8de-0a7b-485b-82ad-f06cca0c6fa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2:_Flow_SignoffStatu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8ff33b-818c-4026-831b-8d73eb4dad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fb0b088-da3c-47ed-872c-fc1360427ae0"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_Flow_SignoffStatus" ma:index="24" nillable="true" ma:displayName="Sign-off status" ma:internalName="Sign_x002d_off_x0020_status">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bad8de-0a7b-485b-82ad-f06cca0c6fa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560e5af-9277-4409-8cda-3ba96815ec35}" ma:internalName="TaxCatchAll" ma:showField="CatchAllData" ma:web="2fbad8de-0a7b-485b-82ad-f06cca0c6f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5D26FE-416D-42A5-9960-9D9FA2B6BE92}">
  <ds:schemaRefs>
    <ds:schemaRef ds:uri="http://schemas.microsoft.com/office/2006/metadata/properties"/>
    <ds:schemaRef ds:uri="http://schemas.microsoft.com/office/infopath/2007/PartnerControls"/>
    <ds:schemaRef ds:uri="a28ff33b-818c-4026-831b-8d73eb4dad2d"/>
    <ds:schemaRef ds:uri="2fbad8de-0a7b-485b-82ad-f06cca0c6faf"/>
  </ds:schemaRefs>
</ds:datastoreItem>
</file>

<file path=customXml/itemProps2.xml><?xml version="1.0" encoding="utf-8"?>
<ds:datastoreItem xmlns:ds="http://schemas.openxmlformats.org/officeDocument/2006/customXml" ds:itemID="{D9A5D3F6-733A-44D2-A204-A1FBE953FF59}">
  <ds:schemaRefs>
    <ds:schemaRef ds:uri="http://schemas.microsoft.com/sharepoint/v3/contenttype/forms"/>
  </ds:schemaRefs>
</ds:datastoreItem>
</file>

<file path=customXml/itemProps3.xml><?xml version="1.0" encoding="utf-8"?>
<ds:datastoreItem xmlns:ds="http://schemas.openxmlformats.org/officeDocument/2006/customXml" ds:itemID="{8E0173E2-F6AA-497B-AD09-A8F13F1901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8ff33b-818c-4026-831b-8d73eb4dad2d"/>
    <ds:schemaRef ds:uri="2fbad8de-0a7b-485b-82ad-f06cca0c6f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Base</vt:lpstr>
      <vt:lpstr>Informe ROC</vt:lpstr>
      <vt:lpstr>Sin Novedad</vt:lpstr>
      <vt:lpstr>Producto Agotado</vt:lpstr>
      <vt:lpstr>Producto Descontinuado</vt:lpstr>
      <vt:lpstr>Diferencia de Precio</vt:lpstr>
      <vt:lpstr>Otros Motivos</vt:lpstr>
      <vt:lpstr>Fechas Productos Agotados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Leon, Maria Fernanda /CO</dc:creator>
  <cp:keywords/>
  <dc:description/>
  <cp:lastModifiedBy>Dairon Alonso (External)</cp:lastModifiedBy>
  <cp:revision/>
  <dcterms:created xsi:type="dcterms:W3CDTF">2022-06-04T01:10:17Z</dcterms:created>
  <dcterms:modified xsi:type="dcterms:W3CDTF">2025-08-15T17:31:38Z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9088468-0951-4aef-9cc3-0a346e475ddc_Enabled">
    <vt:lpwstr>true</vt:lpwstr>
  </property>
  <property fmtid="{D5CDD505-2E9C-101B-9397-08002B2CF9AE}" pid="3" name="MSIP_Label_d9088468-0951-4aef-9cc3-0a346e475ddc_SetDate">
    <vt:lpwstr>2023-07-25T15:54:39Z</vt:lpwstr>
  </property>
  <property fmtid="{D5CDD505-2E9C-101B-9397-08002B2CF9AE}" pid="4" name="MSIP_Label_d9088468-0951-4aef-9cc3-0a346e475ddc_Method">
    <vt:lpwstr>Privileged</vt:lpwstr>
  </property>
  <property fmtid="{D5CDD505-2E9C-101B-9397-08002B2CF9AE}" pid="5" name="MSIP_Label_d9088468-0951-4aef-9cc3-0a346e475ddc_Name">
    <vt:lpwstr>Public</vt:lpwstr>
  </property>
  <property fmtid="{D5CDD505-2E9C-101B-9397-08002B2CF9AE}" pid="6" name="MSIP_Label_d9088468-0951-4aef-9cc3-0a346e475ddc_SiteId">
    <vt:lpwstr>aca3c8d6-aa71-4e1a-a10e-03572fc58c0b</vt:lpwstr>
  </property>
  <property fmtid="{D5CDD505-2E9C-101B-9397-08002B2CF9AE}" pid="7" name="MSIP_Label_d9088468-0951-4aef-9cc3-0a346e475ddc_ActionId">
    <vt:lpwstr>6dec8198-ee6a-4e66-b584-c57edbe69f0f</vt:lpwstr>
  </property>
  <property fmtid="{D5CDD505-2E9C-101B-9397-08002B2CF9AE}" pid="8" name="MSIP_Label_d9088468-0951-4aef-9cc3-0a346e475ddc_ContentBits">
    <vt:lpwstr>0</vt:lpwstr>
  </property>
  <property fmtid="{D5CDD505-2E9C-101B-9397-08002B2CF9AE}" pid="9" name="ContentTypeId">
    <vt:lpwstr>0x01010019F9ECA4F172C040A25C0A302518F164</vt:lpwstr>
  </property>
  <property fmtid="{D5CDD505-2E9C-101B-9397-08002B2CF9AE}" pid="10" name="MediaServiceImageTags">
    <vt:lpwstr/>
  </property>
</Properties>
</file>