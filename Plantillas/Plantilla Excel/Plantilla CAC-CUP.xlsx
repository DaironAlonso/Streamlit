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customProperty1.bin" ContentType="application/vnd.openxmlformats-officedocument.spreadsheetml.customProperty"/>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customProperty2.bin" ContentType="application/vnd.openxmlformats-officedocument.spreadsheetml.customProperty"/>
  <Override PartName="/xl/drawings/drawing2.xml" ContentType="application/vnd.openxmlformats-officedocument.drawing+xml"/>
  <Override PartName="/xl/pivotTables/pivotTable3.xml" ContentType="application/vnd.openxmlformats-officedocument.spreadsheetml.pivotTable+xml"/>
  <Override PartName="/xl/drawings/drawing3.xml" ContentType="application/vnd.openxmlformats-officedocument.drawing+xml"/>
  <Override PartName="/xl/pivotTables/pivotTable4.xml" ContentType="application/vnd.openxmlformats-officedocument.spreadsheetml.pivotTable+xml"/>
  <Override PartName="/xl/drawings/drawing4.xml" ContentType="application/vnd.openxmlformats-officedocument.drawing+xml"/>
  <Override PartName="/xl/pivotTables/pivotTable5.xml" ContentType="application/vnd.openxmlformats-officedocument.spreadsheetml.pivotTable+xml"/>
  <Override PartName="/xl/drawings/drawing5.xml" ContentType="application/vnd.openxmlformats-officedocument.drawing+xml"/>
  <Override PartName="/xl/pivotTables/pivotTable6.xml" ContentType="application/vnd.openxmlformats-officedocument.spreadsheetml.pivotTable+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Dairon Alonso\Desktop\Jupyter\Sanofi\Codigo Final\Plantilla Excel\"/>
    </mc:Choice>
  </mc:AlternateContent>
  <bookViews>
    <workbookView xWindow="0" yWindow="0" windowWidth="24000" windowHeight="9510" tabRatio="846" firstSheet="1" activeTab="1"/>
  </bookViews>
  <sheets>
    <sheet name="Base" sheetId="23" state="hidden" r:id="rId1"/>
    <sheet name="Informe ROC" sheetId="3" r:id="rId2"/>
    <sheet name="Sin Novedad" sheetId="9" r:id="rId3"/>
    <sheet name="Producto Agotado" sheetId="24" r:id="rId4"/>
    <sheet name="Producto con FV No Acordada" sheetId="25" r:id="rId5"/>
    <sheet name="Diferencia de Precio" sheetId="26" r:id="rId6"/>
    <sheet name="Otros Motivos" sheetId="28" r:id="rId7"/>
  </sheets>
  <definedNames>
    <definedName name="_xlnm._FilterDatabase" localSheetId="0" hidden="1">Base!$A$2:$BS$3</definedName>
    <definedName name="Slicer_Customer_PO">#N/A</definedName>
    <definedName name="Slicer_Sales_Doc._Creation">#N/A</definedName>
    <definedName name="Slicer_Ship_To___City">#N/A</definedName>
  </definedNames>
  <calcPr calcId="162913"/>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T1" i="23" l="1"/>
  <c r="BS1" i="23"/>
  <c r="BR1" i="23"/>
  <c r="BQ1" i="23"/>
  <c r="BP1" i="23"/>
  <c r="H13" i="3"/>
</calcChain>
</file>

<file path=xl/sharedStrings.xml><?xml version="1.0" encoding="utf-8"?>
<sst xmlns="http://schemas.openxmlformats.org/spreadsheetml/2006/main" count="138" uniqueCount="93">
  <si>
    <t>Company Code</t>
  </si>
  <si>
    <t>Sold To</t>
  </si>
  <si>
    <t>Document Type</t>
  </si>
  <si>
    <t>Sales Document</t>
  </si>
  <si>
    <t>EAN Code</t>
  </si>
  <si>
    <t>Delivery Block</t>
  </si>
  <si>
    <t>Ship To</t>
  </si>
  <si>
    <t>Status</t>
  </si>
  <si>
    <t>PLU</t>
  </si>
  <si>
    <t>Masterpack</t>
  </si>
  <si>
    <t>Fullbox</t>
  </si>
  <si>
    <t>Valores</t>
  </si>
  <si>
    <t>Pedido</t>
  </si>
  <si>
    <t>Orden de Compra</t>
  </si>
  <si>
    <t>EAN</t>
  </si>
  <si>
    <t>GMID</t>
  </si>
  <si>
    <t>Backorder</t>
  </si>
  <si>
    <t>Sales Org</t>
  </si>
  <si>
    <t>Canal</t>
  </si>
  <si>
    <t>Sold To Name</t>
  </si>
  <si>
    <t>Ship To - City</t>
  </si>
  <si>
    <t>Ship To - Country</t>
  </si>
  <si>
    <t>Customer PO</t>
  </si>
  <si>
    <t>Delivery Doc.</t>
  </si>
  <si>
    <t>Invoice Doc.</t>
  </si>
  <si>
    <t>Item</t>
  </si>
  <si>
    <t>Description</t>
  </si>
  <si>
    <t>Local Description</t>
  </si>
  <si>
    <t>Family</t>
  </si>
  <si>
    <t>Sales Doc. Creation</t>
  </si>
  <si>
    <t>Delivery Creation</t>
  </si>
  <si>
    <t>Goods Issue</t>
  </si>
  <si>
    <t>PGI</t>
  </si>
  <si>
    <t>Invoice</t>
  </si>
  <si>
    <t>POD</t>
  </si>
  <si>
    <t>Req. Delivery</t>
  </si>
  <si>
    <t>Arrange date of arrival</t>
  </si>
  <si>
    <t>Rejection Code</t>
  </si>
  <si>
    <t>Rejection Reason</t>
  </si>
  <si>
    <t>Type</t>
  </si>
  <si>
    <t>Ordered</t>
  </si>
  <si>
    <t>Invoiced</t>
  </si>
  <si>
    <t>Invoiced - BO Retaken</t>
  </si>
  <si>
    <t>Invoiced in advance</t>
  </si>
  <si>
    <t>Delivered</t>
  </si>
  <si>
    <t>To be processed</t>
  </si>
  <si>
    <t>To be delivered</t>
  </si>
  <si>
    <t>Picking</t>
  </si>
  <si>
    <t>Rupture</t>
  </si>
  <si>
    <t>Reorder</t>
  </si>
  <si>
    <t>Stock Allocation</t>
  </si>
  <si>
    <t>Oversales</t>
  </si>
  <si>
    <t>Discontinued</t>
  </si>
  <si>
    <t>Others RR</t>
  </si>
  <si>
    <t>Credit Limit</t>
  </si>
  <si>
    <t>Returns</t>
  </si>
  <si>
    <t>Without RR</t>
  </si>
  <si>
    <t>FR No RR Assigned</t>
  </si>
  <si>
    <t>FR Ordered excluding</t>
  </si>
  <si>
    <t>FR Ordered wo excluding</t>
  </si>
  <si>
    <t>Invoice Sales</t>
  </si>
  <si>
    <t>KeyPLU</t>
  </si>
  <si>
    <t>Total</t>
  </si>
  <si>
    <t>Ordenado</t>
  </si>
  <si>
    <t>Informe ROC.</t>
  </si>
  <si>
    <t>Producto Agotado.</t>
  </si>
  <si>
    <t>Producto con Diferencias de Precio.</t>
  </si>
  <si>
    <t>Producto Facturado sin Novedad.</t>
  </si>
  <si>
    <t>Sin Despacho</t>
  </si>
  <si>
    <t>Sum of Sin Despacho</t>
  </si>
  <si>
    <t>Fill Rate (Unidades)</t>
  </si>
  <si>
    <t>Column1</t>
  </si>
  <si>
    <t>Column2</t>
  </si>
  <si>
    <t>Column3</t>
  </si>
  <si>
    <t>Column4</t>
  </si>
  <si>
    <t>Column5</t>
  </si>
  <si>
    <t>Column6</t>
  </si>
  <si>
    <t>Column7</t>
  </si>
  <si>
    <t>Column8</t>
  </si>
  <si>
    <t>Column9</t>
  </si>
  <si>
    <t>Column10</t>
  </si>
  <si>
    <t>Days Sales order--&gt; Delivery</t>
  </si>
  <si>
    <t>Days Delivery --&gt; Good Issue</t>
  </si>
  <si>
    <t>Days Good issue --&gt; Invoice</t>
  </si>
  <si>
    <t>Sum of Invoiced</t>
  </si>
  <si>
    <t>Facturado</t>
  </si>
  <si>
    <t>No Despachado</t>
  </si>
  <si>
    <t>Producto con Fecha de Vencimiento no Acordada.</t>
  </si>
  <si>
    <t>Producto no Facturado por Otros Motivos.</t>
  </si>
  <si>
    <t>Motivo</t>
  </si>
  <si>
    <t>Total general</t>
  </si>
  <si>
    <t>(Varios elementos)</t>
  </si>
  <si>
    <t>(en blanco)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</si>
</sst>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
    <numFmt numFmtId="165" formatCode="0.0"/>
    <numFmt numFmtId="166" formatCode="[$-F800]dddd\,\ mmmm\ dd\,\ yyyy"/>
    <numFmt numFmtId="167" formatCode="m/d/yyyy\ h:mm:ss\ AM/PM"/>
  </numFmts>
  <fonts count="17">
    <font>
      <sz val="11"/>
      <color theme="1"/>
      <name val="Calibri"/>
      <family val="2"/>
    </font>
    <font>
      <sz val="8"/>
      <color rgb="FF1F497D"/>
      <name val="Verdana"/>
      <family val="2"/>
    </font>
    <font>
      <b/>
      <sz val="20"/>
      <color theme="0"/>
      <name val="Opella Sans SW Bold Highlighted"/>
    </font>
    <font>
      <sz val="11"/>
      <color theme="1"/>
      <name val="Opella Sans Light"/>
    </font>
    <font>
      <b/>
      <sz val="14"/>
      <color theme="0" tint="-4.9989318521683403E-2"/>
      <name val="Opella Sans Light"/>
    </font>
    <font>
      <b/>
      <sz val="11"/>
      <color theme="0" tint="-4.9989318521683403E-2"/>
      <name val="Opella Sans Light"/>
    </font>
    <font>
      <sz val="10"/>
      <color theme="1"/>
      <name val="Opella Sans Light"/>
    </font>
    <font>
      <b/>
      <sz val="10"/>
      <color theme="1"/>
      <name val="Opella Sans Light"/>
    </font>
    <font>
      <sz val="11"/>
      <color theme="9" tint="0.79998168889431442"/>
      <name val="Opella Sans Light"/>
    </font>
    <font>
      <sz val="10"/>
      <name val="Opella Sans Light"/>
    </font>
    <font>
      <sz val="10"/>
      <color rgb="FFFF0000"/>
      <name val="Opella Sans Light"/>
    </font>
    <font>
      <sz val="11"/>
      <name val="Opella Sans Light"/>
    </font>
    <font>
      <b/>
      <sz val="28"/>
      <color theme="0"/>
      <name val="Opella Sans SW Bold Highlighted"/>
    </font>
    <font>
      <sz val="10"/>
      <color theme="9" tint="0.79998168889431442"/>
      <name val="Opella Sans Light"/>
    </font>
    <font>
      <sz val="11"/>
      <name val="Calibri"/>
      <family val="2"/>
    </font>
    <font>
      <sz val="11"/>
      <color theme="1"/>
      <name val="Calibri"/>
      <family val="2"/>
    </font>
    <font>
      <b/>
      <sz val="16"/>
      <color theme="0" tint="-4.9989318521683403E-2"/>
      <name val="Opella Sans Light"/>
    </font>
  </fonts>
  <fills count="7">
    <fill>
      <patternFill patternType="none"/>
    </fill>
    <fill>
      <patternFill patternType="gray125"/>
    </fill>
    <fill>
      <patternFill patternType="solid">
        <fgColor rgb="FFDBE5F1"/>
        <bgColor rgb="FFFFFFFF"/>
      </patternFill>
    </fill>
    <fill>
      <patternFill patternType="solid">
        <fgColor rgb="FFFFFF00"/>
        <bgColor indexed="64"/>
      </patternFill>
    </fill>
    <fill>
      <patternFill patternType="solid">
        <fgColor theme="9" tint="0.79998168889431442"/>
        <bgColor indexed="64"/>
      </patternFill>
    </fill>
    <fill>
      <patternFill patternType="solid">
        <fgColor theme="9"/>
        <bgColor indexed="64"/>
      </patternFill>
    </fill>
    <fill>
      <patternFill patternType="solid">
        <fgColor rgb="FF203315"/>
        <bgColor indexed="64"/>
      </patternFill>
    </fill>
  </fills>
  <borders count="2">
    <border>
      <left/>
      <right/>
      <top/>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s>
  <cellStyleXfs count="4">
    <xf numFmtId="0" fontId="0" fillId="0" borderId="0"/>
    <xf numFmtId="164" fontId="1" fillId="2" borderId="1" applyNumberFormat="0" applyAlignment="0" applyProtection="0">
      <alignment horizontal="left" vertical="center" indent="1"/>
    </xf>
    <xf numFmtId="0" fontId="14" fillId="0" borderId="0"/>
    <xf numFmtId="9" fontId="15" fillId="0" borderId="0" applyFont="0" applyFill="0" applyBorder="0" applyAlignment="0" applyProtection="0"/>
  </cellStyleXfs>
  <cellXfs count="52">
    <xf numFmtId="0" fontId="0" fillId="0" borderId="0" xfId="0"/>
    <xf numFmtId="0" fontId="0" fillId="0" borderId="0" xfId="0" applyAlignment="1">
      <alignment horizontal="center"/>
    </xf>
    <xf numFmtId="0" fontId="3" fillId="0" borderId="0" xfId="0" applyFont="1"/>
    <xf numFmtId="0" fontId="3" fillId="0" borderId="0" xfId="0" applyFont="1" applyAlignment="1">
      <alignment horizontal="center"/>
    </xf>
    <xf numFmtId="0" fontId="3" fillId="0" borderId="0" xfId="0" applyNumberFormat="1" applyFont="1" applyAlignment="1">
      <alignment horizontal="center"/>
    </xf>
    <xf numFmtId="3" fontId="3" fillId="0" borderId="0" xfId="0" applyNumberFormat="1" applyFont="1"/>
    <xf numFmtId="0" fontId="6" fillId="0" borderId="0" xfId="0" applyFont="1"/>
    <xf numFmtId="0" fontId="6" fillId="0" borderId="0" xfId="0" applyFont="1" applyAlignment="1">
      <alignment horizontal="center"/>
    </xf>
    <xf numFmtId="0" fontId="5" fillId="0" borderId="0" xfId="0" applyFont="1" applyFill="1" applyBorder="1" applyAlignment="1">
      <alignment vertical="center"/>
    </xf>
    <xf numFmtId="0" fontId="6" fillId="0" borderId="0" xfId="0" pivotButton="1" applyFont="1" applyAlignment="1">
      <alignment horizontal="left"/>
    </xf>
    <xf numFmtId="0" fontId="6" fillId="0" borderId="0" xfId="0" applyFont="1" applyAlignment="1">
      <alignment horizontal="left"/>
    </xf>
    <xf numFmtId="1" fontId="6" fillId="0" borderId="0" xfId="0" applyNumberFormat="1" applyFont="1" applyAlignment="1">
      <alignment horizontal="center" vertical="center"/>
    </xf>
    <xf numFmtId="0" fontId="7" fillId="0" borderId="0" xfId="0" applyFont="1" applyAlignment="1">
      <alignment horizontal="center"/>
    </xf>
    <xf numFmtId="0" fontId="7" fillId="0" borderId="0" xfId="0" pivotButton="1" applyFont="1" applyAlignment="1">
      <alignment horizontal="left"/>
    </xf>
    <xf numFmtId="1" fontId="7" fillId="0" borderId="0" xfId="0" pivotButton="1" applyNumberFormat="1" applyFont="1" applyAlignment="1">
      <alignment horizontal="left"/>
    </xf>
    <xf numFmtId="1" fontId="6" fillId="0" borderId="0" xfId="0" applyNumberFormat="1" applyFont="1" applyAlignment="1">
      <alignment horizontal="left"/>
    </xf>
    <xf numFmtId="3" fontId="6" fillId="0" borderId="0" xfId="0" applyNumberFormat="1" applyFont="1" applyAlignment="1">
      <alignment horizontal="center"/>
    </xf>
    <xf numFmtId="0" fontId="3" fillId="0" borderId="0" xfId="0" applyFont="1" applyFill="1" applyAlignment="1"/>
    <xf numFmtId="1" fontId="3" fillId="0" borderId="0" xfId="0" applyNumberFormat="1" applyFont="1" applyFill="1" applyAlignment="1"/>
    <xf numFmtId="14" fontId="3" fillId="0" borderId="0" xfId="0" applyNumberFormat="1" applyFont="1" applyFill="1" applyAlignment="1"/>
    <xf numFmtId="0" fontId="3" fillId="4" borderId="0" xfId="0" applyFont="1" applyFill="1" applyAlignment="1"/>
    <xf numFmtId="3" fontId="3" fillId="4" borderId="0" xfId="0" applyNumberFormat="1" applyFont="1" applyFill="1" applyAlignment="1"/>
    <xf numFmtId="165" fontId="3" fillId="0" borderId="0" xfId="0" applyNumberFormat="1" applyFont="1" applyFill="1" applyAlignment="1"/>
    <xf numFmtId="0" fontId="9" fillId="0" borderId="0" xfId="0" applyFont="1" applyFill="1" applyAlignment="1">
      <alignment vertical="center"/>
    </xf>
    <xf numFmtId="0" fontId="9" fillId="5" borderId="0" xfId="0" applyFont="1" applyFill="1" applyAlignment="1">
      <alignment vertical="center"/>
    </xf>
    <xf numFmtId="1" fontId="9" fillId="5" borderId="0" xfId="0" applyNumberFormat="1" applyFont="1" applyFill="1" applyAlignment="1">
      <alignment vertical="center"/>
    </xf>
    <xf numFmtId="14" fontId="9" fillId="5" borderId="0" xfId="0" applyNumberFormat="1" applyFont="1" applyFill="1" applyAlignment="1">
      <alignment vertical="center"/>
    </xf>
    <xf numFmtId="14" fontId="9" fillId="0" borderId="0" xfId="0" applyNumberFormat="1" applyFont="1" applyFill="1" applyAlignment="1">
      <alignment vertical="center"/>
    </xf>
    <xf numFmtId="0" fontId="10" fillId="3" borderId="0" xfId="0" applyFont="1" applyFill="1" applyAlignment="1">
      <alignment vertical="center"/>
    </xf>
    <xf numFmtId="0" fontId="11" fillId="0" borderId="0" xfId="0" applyFont="1" applyFill="1" applyAlignment="1"/>
    <xf numFmtId="165" fontId="11" fillId="0" borderId="0" xfId="0" applyNumberFormat="1" applyFont="1" applyFill="1" applyAlignment="1"/>
    <xf numFmtId="1" fontId="3" fillId="0" borderId="0" xfId="0" applyNumberFormat="1" applyFont="1" applyFill="1" applyAlignment="1">
      <alignment vertical="top"/>
    </xf>
    <xf numFmtId="3" fontId="3" fillId="0" borderId="0" xfId="0" applyNumberFormat="1" applyFont="1" applyFill="1" applyAlignment="1"/>
    <xf numFmtId="0" fontId="2" fillId="0" borderId="0" xfId="0" applyFont="1" applyFill="1" applyAlignment="1">
      <alignment vertical="center"/>
    </xf>
    <xf numFmtId="1" fontId="10" fillId="3" borderId="0" xfId="0" applyNumberFormat="1" applyFont="1" applyFill="1" applyAlignment="1">
      <alignment vertical="center"/>
    </xf>
    <xf numFmtId="1" fontId="3" fillId="4" borderId="0" xfId="0" applyNumberFormat="1" applyFont="1" applyFill="1" applyAlignment="1"/>
    <xf numFmtId="1" fontId="9" fillId="0" borderId="0" xfId="0" applyNumberFormat="1" applyFont="1" applyFill="1" applyAlignment="1">
      <alignment vertical="center"/>
    </xf>
    <xf numFmtId="0" fontId="0" fillId="0" borderId="0" xfId="0" applyFont="1"/>
    <xf numFmtId="0" fontId="13" fillId="0" borderId="0" xfId="0" pivotButton="1" applyFont="1" applyAlignment="1">
      <alignment horizontal="left"/>
    </xf>
    <xf numFmtId="0" fontId="13" fillId="0" borderId="0" xfId="0" applyFont="1" applyAlignment="1">
      <alignment horizontal="left"/>
    </xf>
    <xf numFmtId="1" fontId="0" fillId="0" borderId="0" xfId="0" applyNumberFormat="1"/>
    <xf numFmtId="1" fontId="3" fillId="0" borderId="0" xfId="0" applyNumberFormat="1" applyFont="1"/>
    <xf numFmtId="14" fontId="3" fillId="0" borderId="0" xfId="0" applyNumberFormat="1" applyFont="1"/>
    <xf numFmtId="166" fontId="3" fillId="0" borderId="0" xfId="0" applyNumberFormat="1" applyFont="1"/>
    <xf numFmtId="167" fontId="3" fillId="0" borderId="0" xfId="0" applyNumberFormat="1" applyFont="1"/>
    <xf numFmtId="1" fontId="6" fillId="0" borderId="0" xfId="0" applyNumberFormat="1" applyFont="1"/>
    <xf numFmtId="0" fontId="8" fillId="0" borderId="0" xfId="0" pivotButton="1" applyFont="1" applyAlignment="1">
      <alignment horizontal="center"/>
    </xf>
    <xf numFmtId="0" fontId="0" fillId="0" borderId="0" xfId="0" applyFont="1" applyAlignment="1">
      <alignment horizontal="center"/>
    </xf>
    <xf numFmtId="9" fontId="16" fillId="6" borderId="0" xfId="3" applyFont="1" applyFill="1" applyBorder="1" applyAlignment="1">
      <alignment horizontal="center" vertical="center"/>
    </xf>
    <xf numFmtId="0" fontId="4" fillId="6" borderId="0" xfId="0" applyFont="1" applyFill="1" applyBorder="1" applyAlignment="1">
      <alignment horizontal="center" vertical="center"/>
    </xf>
    <xf numFmtId="0" fontId="12" fillId="6" borderId="0" xfId="0" applyFont="1" applyFill="1" applyAlignment="1">
      <alignment horizontal="left" vertical="center"/>
    </xf>
    <xf numFmtId="0" fontId="2" fillId="6" borderId="0" xfId="0" applyFont="1" applyFill="1" applyAlignment="1">
      <alignment horizontal="right" vertical="center"/>
    </xf>
  </cellXfs>
  <cellStyles count="4">
    <cellStyle name="Normal" xfId="0" builtinId="0"/>
    <cellStyle name="Normal 2" xfId="2"/>
    <cellStyle name="Porcentaje" xfId="3" builtinId="5"/>
    <cellStyle name="SAPMemberCell" xfId="1"/>
  </cellStyles>
  <dxfs count="2153">
    <dxf>
      <numFmt numFmtId="1" formatCode="0"/>
    </dxf>
    <dxf>
      <font>
        <color theme="9" tint="0.79998168889431442"/>
      </font>
    </dxf>
    <dxf>
      <numFmt numFmtId="1" formatCode="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b/>
      </font>
    </dxf>
    <dxf>
      <font>
        <b/>
      </font>
    </dxf>
    <dxf>
      <font>
        <b/>
      </font>
    </dxf>
    <dxf>
      <font>
        <b/>
      </font>
    </dxf>
    <dxf>
      <font>
        <b/>
      </font>
    </dxf>
    <dxf>
      <font>
        <b/>
      </font>
    </dxf>
    <dxf>
      <font>
        <b/>
      </font>
    </dxf>
    <dxf>
      <alignment horizontal="center"/>
    </dxf>
    <dxf>
      <numFmt numFmtId="1" formatCode="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theme="0" tint="-0.499984740745262"/>
      </font>
    </dxf>
    <dxf>
      <alignment horizontal="center"/>
    </dxf>
    <dxf>
      <numFmt numFmtId="3" formatCode="#,##0"/>
    </dxf>
    <dxf>
      <font>
        <color theme="9" tint="0.79998168889431442"/>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b/>
      </font>
    </dxf>
    <dxf>
      <font>
        <b/>
      </font>
    </dxf>
    <dxf>
      <font>
        <b/>
      </font>
    </dxf>
    <dxf>
      <font>
        <b/>
      </font>
    </dxf>
    <dxf>
      <font>
        <b/>
      </font>
    </dxf>
    <dxf>
      <font>
        <b/>
      </font>
    </dxf>
    <dxf>
      <font>
        <b/>
      </font>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theme="0" tint="-0.499984740745262"/>
      </font>
    </dxf>
    <dxf>
      <alignment horizontal="center"/>
    </dxf>
    <dxf>
      <numFmt numFmtId="3" formatCode="#,##0"/>
    </dxf>
    <dxf>
      <font>
        <color theme="9" tint="0.79998168889431442"/>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b/>
      </font>
    </dxf>
    <dxf>
      <font>
        <b/>
      </font>
    </dxf>
    <dxf>
      <font>
        <b/>
      </font>
    </dxf>
    <dxf>
      <font>
        <b/>
      </font>
    </dxf>
    <dxf>
      <font>
        <b/>
      </font>
    </dxf>
    <dxf>
      <font>
        <b/>
      </font>
    </dxf>
    <dxf>
      <font>
        <b/>
      </font>
    </dxf>
    <dxf>
      <numFmt numFmtId="1" formatCode="0"/>
    </dxf>
    <dxf>
      <alignment horizontal="center"/>
    </dxf>
    <dxf>
      <numFmt numFmtId="1" formatCode="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theme="0" tint="-0.499984740745262"/>
      </font>
    </dxf>
    <dxf>
      <alignment horizontal="center"/>
    </dxf>
    <dxf>
      <numFmt numFmtId="3" formatCode="#,##0"/>
    </dxf>
    <dxf>
      <numFmt numFmtId="1" formatCode="0"/>
    </dxf>
    <dxf>
      <font>
        <color theme="9" tint="0.79998168889431442"/>
      </font>
    </dxf>
    <dxf>
      <numFmt numFmtId="1" formatCode="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b/>
      </font>
    </dxf>
    <dxf>
      <font>
        <b/>
      </font>
    </dxf>
    <dxf>
      <font>
        <b/>
      </font>
    </dxf>
    <dxf>
      <font>
        <b/>
      </font>
    </dxf>
    <dxf>
      <font>
        <b/>
      </font>
    </dxf>
    <dxf>
      <font>
        <b/>
      </font>
    </dxf>
    <dxf>
      <font>
        <b/>
      </font>
    </dxf>
    <dxf>
      <alignment horizontal="center"/>
    </dxf>
    <dxf>
      <numFmt numFmtId="1" formatCode="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theme="0" tint="-0.499984740745262"/>
      </font>
    </dxf>
    <dxf>
      <alignment horizontal="center"/>
    </dxf>
    <dxf>
      <numFmt numFmtId="3" formatCode="#,##0"/>
    </dxf>
    <dxf>
      <numFmt numFmtId="1" formatCode="0"/>
    </dxf>
    <dxf>
      <font>
        <color theme="9" tint="0.79998168889431442"/>
      </font>
    </dxf>
    <dxf>
      <alignment horizont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b/>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font>
    </dxf>
    <dxf>
      <font>
        <b/>
      </font>
    </dxf>
    <dxf>
      <font>
        <b/>
      </font>
    </dxf>
    <dxf>
      <font>
        <b/>
      </font>
    </dxf>
    <dxf>
      <font>
        <b/>
      </font>
    </dxf>
    <dxf>
      <font>
        <b/>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theme="0" tint="-0.499984740745262"/>
      </font>
    </dxf>
    <dxf>
      <alignment horizontal="center"/>
    </dxf>
    <dxf>
      <numFmt numFmtId="3" formatCode="#,##0"/>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font>
        <sz val="11"/>
      </font>
    </dxf>
    <dxf>
      <font>
        <color theme="9" tint="0.79998168889431442"/>
      </font>
    </dxf>
    <dxf>
      <font>
        <b/>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alignment horizontal="center"/>
    </dxf>
    <dxf>
      <font>
        <strike val="0"/>
        <outline val="0"/>
        <shadow val="0"/>
        <u val="none"/>
        <vertAlign val="baseline"/>
        <name val="Opella Sans Light"/>
        <scheme val="none"/>
      </font>
      <numFmt numFmtId="1" formatCode="0"/>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0" formatCode="General"/>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0" formatCode="General"/>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3" formatCode="#,##0"/>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name val="Opella Sans Light"/>
        <scheme val="none"/>
      </font>
      <numFmt numFmtId="0" formatCode="General"/>
      <fill>
        <patternFill patternType="none">
          <fgColor indexed="64"/>
          <bgColor auto="1"/>
        </patternFill>
      </fill>
      <alignment horizontal="general"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name val="Opella Sans Light"/>
        <scheme val="none"/>
      </font>
      <numFmt numFmtId="1" formatCode="0"/>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 formatCode="0"/>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 formatCode="0"/>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 formatCode="0"/>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b val="0"/>
        <i val="0"/>
        <strike val="0"/>
        <condense val="0"/>
        <extend val="0"/>
        <outline val="0"/>
        <shadow val="0"/>
        <u val="none"/>
        <vertAlign val="baseline"/>
        <sz val="10"/>
        <color auto="1"/>
        <name val="Opella Sans Light"/>
        <scheme val="none"/>
      </font>
      <fill>
        <patternFill patternType="none">
          <fgColor indexed="64"/>
          <bgColor auto="1"/>
        </patternFill>
      </fill>
      <alignment horizontal="general" vertical="center" textRotation="0" wrapText="0" indent="0" justifyLastLine="0" shrinkToFit="0" readingOrder="0"/>
    </dxf>
    <dxf>
      <fill>
        <patternFill patternType="solid">
          <fgColor rgb="FFE1CCF0"/>
          <bgColor rgb="FFE1CCF0"/>
        </patternFill>
      </fill>
      <border>
        <bottom style="thin">
          <color rgb="FF7030A0"/>
        </bottom>
      </border>
    </dxf>
    <dxf>
      <font>
        <color auto="1"/>
      </font>
      <fill>
        <patternFill patternType="solid">
          <fgColor rgb="FFE1CCF0"/>
          <bgColor rgb="FFE1CCF0"/>
        </patternFill>
      </fill>
      <border>
        <bottom style="thin">
          <color rgb="FF7030A0"/>
        </bottom>
      </border>
    </dxf>
    <dxf>
      <font>
        <b/>
        <color theme="1"/>
      </font>
    </dxf>
    <dxf>
      <font>
        <b/>
        <color theme="1"/>
      </font>
      <border>
        <bottom style="thin">
          <color rgb="FF7030A0"/>
        </bottom>
      </border>
    </dxf>
    <dxf>
      <font>
        <b/>
        <color theme="1"/>
      </font>
    </dxf>
    <dxf>
      <font>
        <b/>
        <color theme="1"/>
      </font>
      <border>
        <top style="thin">
          <color rgb="FF7030A0"/>
        </top>
        <bottom style="thin">
          <color rgb="FF7030A0"/>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color theme="0"/>
      </font>
      <fill>
        <patternFill patternType="solid">
          <fgColor rgb="FF7030A0"/>
          <bgColor rgb="FF7030A0"/>
        </patternFill>
      </fill>
      <border>
        <top style="thin">
          <color rgb="FF7030A0"/>
        </top>
      </border>
    </dxf>
    <dxf>
      <font>
        <b/>
        <color theme="1"/>
      </font>
      <fill>
        <patternFill patternType="solid">
          <fgColor rgb="FFE1CCF0"/>
          <bgColor rgb="FFE1CCF0"/>
        </patternFill>
      </fill>
      <border>
        <bottom style="thin">
          <color rgb="FF7030A0"/>
        </bottom>
      </border>
    </dxf>
    <dxf>
      <font>
        <b/>
        <i val="0"/>
        <name val="Opella Sans"/>
        <scheme val="none"/>
      </font>
    </dxf>
    <dxf>
      <font>
        <b val="0"/>
        <i val="0"/>
        <sz val="9"/>
        <name val="Opella Sans"/>
        <scheme val="none"/>
      </font>
      <fill>
        <patternFill>
          <bgColor theme="9" tint="0.79998168889431442"/>
        </patternFill>
      </fill>
      <border diagonalUp="0" diagonalDown="0">
        <left style="thin">
          <color theme="9" tint="-0.499984740745262"/>
        </left>
        <right style="thin">
          <color theme="9" tint="-0.499984740745262"/>
        </right>
        <top style="thin">
          <color theme="9" tint="-0.499984740745262"/>
        </top>
        <bottom style="thin">
          <color theme="9" tint="-0.499984740745262"/>
        </bottom>
        <vertical/>
        <horizontal/>
      </border>
    </dxf>
  </dxfs>
  <tableStyles count="2" defaultTableStyle="TableStyleMedium2" defaultPivotStyle="PivotStyleLight16">
    <tableStyle name="Opella" pivot="0" table="0" count="7">
      <tableStyleElement type="wholeTable" dxfId="2152"/>
      <tableStyleElement type="headerRow" dxfId="2151"/>
    </tableStyle>
    <tableStyle name="PivotStyleLight16 2" table="0" count="11">
      <tableStyleElement type="headerRow" dxfId="2150"/>
      <tableStyleElement type="totalRow" dxfId="2149"/>
      <tableStyleElement type="firstRowStripe" dxfId="2148"/>
      <tableStyleElement type="firstColumnStripe" dxfId="2147"/>
      <tableStyleElement type="firstSubtotalColumn" dxfId="2146"/>
      <tableStyleElement type="firstSubtotalRow" dxfId="2145"/>
      <tableStyleElement type="secondSubtotalRow" dxfId="2144"/>
      <tableStyleElement type="firstRowSubheading" dxfId="2143"/>
      <tableStyleElement type="secondRowSubheading" dxfId="2142"/>
      <tableStyleElement type="pageFieldLabels" dxfId="2141"/>
      <tableStyleElement type="pageFieldValues" dxfId="2140"/>
    </tableStyle>
  </tableStyles>
  <colors>
    <mruColors>
      <color rgb="FF203315"/>
      <color rgb="FF263C18"/>
      <color rgb="FF334F21"/>
      <color rgb="FF243917"/>
      <color rgb="FF1C2C12"/>
      <color rgb="FFD3B5E9"/>
      <color rgb="FFFDFDFD"/>
      <color rgb="FF8D43C5"/>
      <color rgb="FFA469D1"/>
      <color rgb="FFA66CD2"/>
    </mruColors>
  </colors>
  <extLst>
    <ext xmlns:x14="http://schemas.microsoft.com/office/spreadsheetml/2009/9/main" uri="{46F421CA-312F-682f-3DD2-61675219B42D}">
      <x14:dxfs count="5">
        <dxf>
          <fill>
            <patternFill>
              <bgColor theme="7" tint="0.39994506668294322"/>
            </patternFill>
          </fill>
        </dxf>
        <dxf>
          <font>
            <color theme="9" tint="0.79998168889431442"/>
          </font>
          <fill>
            <patternFill>
              <bgColor theme="9" tint="0.79998168889431442"/>
            </patternFill>
          </fill>
          <border diagonalUp="0" diagonalDown="0">
            <left/>
            <right/>
            <top/>
            <bottom/>
            <vertical/>
            <horizontal/>
          </border>
        </dxf>
        <dxf>
          <font>
            <color theme="0"/>
          </font>
          <fill>
            <patternFill>
              <bgColor rgb="FF263C18"/>
            </patternFill>
          </fill>
        </dxf>
        <dxf>
          <border diagonalUp="0" diagonalDown="0">
            <left/>
            <right/>
            <top/>
            <bottom/>
            <vertical/>
            <horizontal/>
          </border>
        </dxf>
        <dxf>
          <fill>
            <patternFill>
              <bgColor theme="9" tint="0.79998168889431442"/>
            </patternFill>
          </fill>
        </dxf>
      </x14:dxfs>
    </ext>
    <ext xmlns:x14="http://schemas.microsoft.com/office/spreadsheetml/2009/9/main" uri="{EB79DEF2-80B8-43e5-95BD-54CBDDF9020C}">
      <x14:slicerStyles defaultSlicerStyle="SlicerStyleLight1">
        <x14:slicerStyle name="Opella">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Diferencia de Precio'!A1"/><Relationship Id="rId7" Type="http://schemas.openxmlformats.org/officeDocument/2006/relationships/hyperlink" Target="#'Otros Motivos'!A1"/><Relationship Id="rId2" Type="http://schemas.openxmlformats.org/officeDocument/2006/relationships/hyperlink" Target="#'Producto con FV No Acordada'!A1"/><Relationship Id="rId1" Type="http://schemas.openxmlformats.org/officeDocument/2006/relationships/hyperlink" Target="#'Producto Agotado'!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Sin Novedad'!A1"/></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2.png"/><Relationship Id="rId1" Type="http://schemas.openxmlformats.org/officeDocument/2006/relationships/hyperlink" Target="#'Informe ROC'!A1"/></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2.png"/><Relationship Id="rId1" Type="http://schemas.openxmlformats.org/officeDocument/2006/relationships/hyperlink" Target="#'Informe ROC'!A1"/></Relationships>
</file>

<file path=xl/drawings/_rels/drawing4.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2.png"/><Relationship Id="rId1" Type="http://schemas.openxmlformats.org/officeDocument/2006/relationships/hyperlink" Target="#'Informe ROC'!A1"/></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2.png"/><Relationship Id="rId1" Type="http://schemas.openxmlformats.org/officeDocument/2006/relationships/hyperlink" Target="#'Informe ROC'!A1"/></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3.png"/><Relationship Id="rId1" Type="http://schemas.openxmlformats.org/officeDocument/2006/relationships/hyperlink" Target="#'Informe ROC'!A1"/></Relationships>
</file>

<file path=xl/drawings/drawing1.xml><?xml version="1.0" encoding="utf-8"?>
<xdr:wsDr xmlns:xdr="http://schemas.openxmlformats.org/drawingml/2006/spreadsheetDrawing" xmlns:a="http://schemas.openxmlformats.org/drawingml/2006/main">
  <xdr:twoCellAnchor editAs="absolute">
    <xdr:from>
      <xdr:col>3</xdr:col>
      <xdr:colOff>915512</xdr:colOff>
      <xdr:row>1</xdr:row>
      <xdr:rowOff>114505</xdr:rowOff>
    </xdr:from>
    <xdr:to>
      <xdr:col>5</xdr:col>
      <xdr:colOff>1133949</xdr:colOff>
      <xdr:row>4</xdr:row>
      <xdr:rowOff>182278</xdr:rowOff>
    </xdr:to>
    <xdr:sp macro="" textlink="">
      <xdr:nvSpPr>
        <xdr:cNvPr id="13" name="Rectángulo redondeado 132">
          <a:hlinkClick xmlns:r="http://schemas.openxmlformats.org/officeDocument/2006/relationships" r:id="rId1"/>
          <a:extLst>
            <a:ext uri="{FF2B5EF4-FFF2-40B4-BE49-F238E27FC236}">
              <a16:creationId xmlns:a16="http://schemas.microsoft.com/office/drawing/2014/main" id="{7048E84D-4652-4F56-A45C-FD5C8606EFCB}"/>
            </a:ext>
          </a:extLst>
        </xdr:cNvPr>
        <xdr:cNvSpPr/>
      </xdr:nvSpPr>
      <xdr:spPr>
        <a:xfrm>
          <a:off x="3106262" y="971755"/>
          <a:ext cx="2052000" cy="639273"/>
        </a:xfrm>
        <a:prstGeom prst="roundRect">
          <a:avLst>
            <a:gd name="adj" fmla="val 29902"/>
          </a:avLst>
        </a:prstGeom>
        <a:solidFill>
          <a:srgbClr val="20331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latin typeface="Opella Sans" pitchFamily="2" charset="0"/>
              <a:cs typeface="Opella Sans" pitchFamily="2" charset="0"/>
            </a:rPr>
            <a:t>Ir a:</a:t>
          </a:r>
        </a:p>
        <a:p>
          <a:pPr algn="l"/>
          <a:r>
            <a:rPr lang="es-CO" sz="1100" b="1">
              <a:solidFill>
                <a:schemeClr val="lt1"/>
              </a:solidFill>
              <a:effectLst/>
              <a:latin typeface="Opella Sans" pitchFamily="2" charset="0"/>
              <a:ea typeface="+mn-ea"/>
              <a:cs typeface="Opella Sans" pitchFamily="2" charset="0"/>
            </a:rPr>
            <a:t>Producto Agotado.</a:t>
          </a:r>
          <a:endParaRPr lang="es-CO" sz="1100" b="1">
            <a:latin typeface="Opella Sans" pitchFamily="2" charset="0"/>
            <a:cs typeface="Opella Sans" pitchFamily="2" charset="0"/>
          </a:endParaRPr>
        </a:p>
      </xdr:txBody>
    </xdr:sp>
    <xdr:clientData/>
  </xdr:twoCellAnchor>
  <xdr:twoCellAnchor editAs="absolute">
    <xdr:from>
      <xdr:col>6</xdr:col>
      <xdr:colOff>139804</xdr:colOff>
      <xdr:row>1</xdr:row>
      <xdr:rowOff>114505</xdr:rowOff>
    </xdr:from>
    <xdr:to>
      <xdr:col>7</xdr:col>
      <xdr:colOff>1017054</xdr:colOff>
      <xdr:row>4</xdr:row>
      <xdr:rowOff>182278</xdr:rowOff>
    </xdr:to>
    <xdr:grpSp>
      <xdr:nvGrpSpPr>
        <xdr:cNvPr id="53" name="Grupo 52">
          <a:hlinkClick xmlns:r="http://schemas.openxmlformats.org/officeDocument/2006/relationships" r:id="rId2"/>
          <a:extLst>
            <a:ext uri="{FF2B5EF4-FFF2-40B4-BE49-F238E27FC236}">
              <a16:creationId xmlns:a16="http://schemas.microsoft.com/office/drawing/2014/main" id="{1243C64E-A844-4679-9299-14184E3BCF46}"/>
            </a:ext>
          </a:extLst>
        </xdr:cNvPr>
        <xdr:cNvGrpSpPr>
          <a:grpSpLocks noChangeAspect="1"/>
        </xdr:cNvGrpSpPr>
      </xdr:nvGrpSpPr>
      <xdr:grpSpPr>
        <a:xfrm>
          <a:off x="5092804" y="971755"/>
          <a:ext cx="1996438" cy="603554"/>
          <a:chOff x="4510185" y="472088"/>
          <a:chExt cx="2098134" cy="671023"/>
        </a:xfrm>
        <a:solidFill>
          <a:schemeClr val="accent6">
            <a:lumMod val="50000"/>
          </a:schemeClr>
        </a:solidFill>
      </xdr:grpSpPr>
      <xdr:sp macro="" textlink="">
        <xdr:nvSpPr>
          <xdr:cNvPr id="9" name="Rectángulo redondeado 132">
            <a:extLst>
              <a:ext uri="{FF2B5EF4-FFF2-40B4-BE49-F238E27FC236}">
                <a16:creationId xmlns:a16="http://schemas.microsoft.com/office/drawing/2014/main" id="{F4911047-E48A-46F1-B8CB-8816547E8E67}"/>
              </a:ext>
            </a:extLst>
          </xdr:cNvPr>
          <xdr:cNvSpPr/>
        </xdr:nvSpPr>
        <xdr:spPr>
          <a:xfrm>
            <a:off x="4510185" y="472088"/>
            <a:ext cx="2098134" cy="671023"/>
          </a:xfrm>
          <a:prstGeom prst="roundRect">
            <a:avLst>
              <a:gd name="adj" fmla="val 29902"/>
            </a:avLst>
          </a:prstGeom>
          <a:solidFill>
            <a:srgbClr val="20331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50" b="1">
                <a:latin typeface="Opella Sans" pitchFamily="2" charset="0"/>
                <a:cs typeface="Opella Sans" pitchFamily="2" charset="0"/>
              </a:rPr>
              <a:t>Ir a: </a:t>
            </a:r>
            <a:r>
              <a:rPr lang="es-CO" sz="1050" b="1">
                <a:solidFill>
                  <a:schemeClr val="lt1"/>
                </a:solidFill>
                <a:effectLst/>
                <a:latin typeface="Opella Sans" pitchFamily="2" charset="0"/>
                <a:ea typeface="+mn-ea"/>
                <a:cs typeface="Opella Sans" pitchFamily="2" charset="0"/>
              </a:rPr>
              <a:t>Producto con Fecha</a:t>
            </a:r>
            <a:r>
              <a:rPr lang="es-CO" sz="1050" b="1" baseline="0">
                <a:solidFill>
                  <a:schemeClr val="lt1"/>
                </a:solidFill>
                <a:effectLst/>
                <a:latin typeface="Opella Sans" pitchFamily="2" charset="0"/>
                <a:ea typeface="+mn-ea"/>
                <a:cs typeface="Opella Sans" pitchFamily="2" charset="0"/>
              </a:rPr>
              <a:t> de Vencimiento No Acordada</a:t>
            </a:r>
            <a:r>
              <a:rPr lang="es-CO" sz="1050" b="1">
                <a:solidFill>
                  <a:schemeClr val="lt1"/>
                </a:solidFill>
                <a:effectLst/>
                <a:latin typeface="Opella Sans" pitchFamily="2" charset="0"/>
                <a:ea typeface="+mn-ea"/>
                <a:cs typeface="Opella Sans" pitchFamily="2" charset="0"/>
              </a:rPr>
              <a:t>.</a:t>
            </a:r>
            <a:endParaRPr lang="es-CO" sz="1050" b="1">
              <a:latin typeface="Opella Sans" pitchFamily="2" charset="0"/>
              <a:cs typeface="Opella Sans" pitchFamily="2" charset="0"/>
            </a:endParaRPr>
          </a:p>
        </xdr:txBody>
      </xdr:sp>
      <xdr:grpSp>
        <xdr:nvGrpSpPr>
          <xdr:cNvPr id="22" name="Google Shape;462;p21">
            <a:extLst>
              <a:ext uri="{FF2B5EF4-FFF2-40B4-BE49-F238E27FC236}">
                <a16:creationId xmlns:a16="http://schemas.microsoft.com/office/drawing/2014/main" id="{AAF22D50-4995-4E44-B2C2-27CBFEE557B2}"/>
              </a:ext>
            </a:extLst>
          </xdr:cNvPr>
          <xdr:cNvGrpSpPr/>
        </xdr:nvGrpSpPr>
        <xdr:grpSpPr>
          <a:xfrm>
            <a:off x="6304917" y="713055"/>
            <a:ext cx="206408" cy="191275"/>
            <a:chOff x="4665913" y="2318300"/>
            <a:chExt cx="146450" cy="145950"/>
          </a:xfrm>
          <a:grpFill/>
        </xdr:grpSpPr>
        <xdr:sp macro="" textlink="">
          <xdr:nvSpPr>
            <xdr:cNvPr id="23" name="Google Shape;463;p21">
              <a:extLst>
                <a:ext uri="{FF2B5EF4-FFF2-40B4-BE49-F238E27FC236}">
                  <a16:creationId xmlns:a16="http://schemas.microsoft.com/office/drawing/2014/main" id="{1F24C7F7-6AD0-4AB2-8594-A3D0FB77236C}"/>
                </a:ext>
              </a:extLst>
            </xdr:cNvPr>
            <xdr:cNvSpPr/>
          </xdr:nvSpPr>
          <xdr:spPr>
            <a:xfrm>
              <a:off x="4754313" y="2318300"/>
              <a:ext cx="9825" cy="9825"/>
            </a:xfrm>
            <a:custGeom>
              <a:avLst/>
              <a:gdLst/>
              <a:ahLst/>
              <a:cxnLst/>
              <a:rect l="l" t="t" r="r" b="b"/>
              <a:pathLst>
                <a:path w="393" h="393" extrusionOk="0">
                  <a:moveTo>
                    <a:pt x="191" y="0"/>
                  </a:moveTo>
                  <a:cubicBezTo>
                    <a:pt x="84" y="0"/>
                    <a:pt x="0" y="83"/>
                    <a:pt x="0" y="191"/>
                  </a:cubicBezTo>
                  <a:cubicBezTo>
                    <a:pt x="0" y="298"/>
                    <a:pt x="84" y="393"/>
                    <a:pt x="191" y="393"/>
                  </a:cubicBezTo>
                  <a:cubicBezTo>
                    <a:pt x="298" y="393"/>
                    <a:pt x="393" y="298"/>
                    <a:pt x="393" y="191"/>
                  </a:cubicBezTo>
                  <a:cubicBezTo>
                    <a:pt x="393" y="83"/>
                    <a:pt x="298" y="0"/>
                    <a:pt x="191" y="0"/>
                  </a:cubicBezTo>
                  <a:close/>
                </a:path>
              </a:pathLst>
            </a:custGeom>
            <a:grpFill/>
            <a:ln>
              <a:noFill/>
            </a:ln>
          </xdr:spPr>
          <xdr:txBody>
            <a:bodyPr spcFirstLastPara="1" wrap="square" lIns="121900" tIns="121900" rIns="121900" bIns="121900" anchor="ctr" anchorCtr="0">
              <a:no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1219170">
                <a:buClr>
                  <a:srgbClr val="000000"/>
                </a:buClr>
              </a:pPr>
              <a:endParaRPr sz="1867" kern="0">
                <a:noFill/>
                <a:latin typeface="Arial"/>
                <a:cs typeface="Arial"/>
                <a:sym typeface="Arial"/>
              </a:endParaRPr>
            </a:p>
          </xdr:txBody>
        </xdr:sp>
        <xdr:sp macro="" textlink="">
          <xdr:nvSpPr>
            <xdr:cNvPr id="24" name="Google Shape;464;p21">
              <a:extLst>
                <a:ext uri="{FF2B5EF4-FFF2-40B4-BE49-F238E27FC236}">
                  <a16:creationId xmlns:a16="http://schemas.microsoft.com/office/drawing/2014/main" id="{BA5B618A-546E-4251-88A1-D8DE34F3CE52}"/>
                </a:ext>
              </a:extLst>
            </xdr:cNvPr>
            <xdr:cNvSpPr/>
          </xdr:nvSpPr>
          <xdr:spPr>
            <a:xfrm>
              <a:off x="4665913" y="2406700"/>
              <a:ext cx="9825" cy="9850"/>
            </a:xfrm>
            <a:custGeom>
              <a:avLst/>
              <a:gdLst/>
              <a:ahLst/>
              <a:cxnLst/>
              <a:rect l="l" t="t" r="r" b="b"/>
              <a:pathLst>
                <a:path w="393" h="394" extrusionOk="0">
                  <a:moveTo>
                    <a:pt x="191" y="0"/>
                  </a:moveTo>
                  <a:cubicBezTo>
                    <a:pt x="83" y="0"/>
                    <a:pt x="0" y="84"/>
                    <a:pt x="0" y="191"/>
                  </a:cubicBezTo>
                  <a:cubicBezTo>
                    <a:pt x="0" y="298"/>
                    <a:pt x="83" y="393"/>
                    <a:pt x="191" y="393"/>
                  </a:cubicBezTo>
                  <a:cubicBezTo>
                    <a:pt x="298" y="393"/>
                    <a:pt x="393" y="298"/>
                    <a:pt x="393" y="191"/>
                  </a:cubicBezTo>
                  <a:cubicBezTo>
                    <a:pt x="393" y="84"/>
                    <a:pt x="298" y="0"/>
                    <a:pt x="191" y="0"/>
                  </a:cubicBezTo>
                  <a:close/>
                </a:path>
              </a:pathLst>
            </a:custGeom>
            <a:grpFill/>
            <a:ln>
              <a:noFill/>
            </a:ln>
          </xdr:spPr>
          <xdr:txBody>
            <a:bodyPr spcFirstLastPara="1" wrap="square" lIns="121900" tIns="121900" rIns="121900" bIns="121900" anchor="ctr" anchorCtr="0">
              <a:no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1219170">
                <a:buClr>
                  <a:srgbClr val="000000"/>
                </a:buClr>
              </a:pPr>
              <a:endParaRPr sz="1867" kern="0">
                <a:noFill/>
                <a:latin typeface="Arial"/>
                <a:cs typeface="Arial"/>
                <a:sym typeface="Arial"/>
              </a:endParaRPr>
            </a:p>
          </xdr:txBody>
        </xdr:sp>
        <xdr:sp macro="" textlink="">
          <xdr:nvSpPr>
            <xdr:cNvPr id="27" name="Google Shape;467;p21">
              <a:extLst>
                <a:ext uri="{FF2B5EF4-FFF2-40B4-BE49-F238E27FC236}">
                  <a16:creationId xmlns:a16="http://schemas.microsoft.com/office/drawing/2014/main" id="{F8209D15-B0B6-499E-9F93-53006F748D4D}"/>
                </a:ext>
              </a:extLst>
            </xdr:cNvPr>
            <xdr:cNvSpPr/>
          </xdr:nvSpPr>
          <xdr:spPr>
            <a:xfrm>
              <a:off x="4757588" y="2410700"/>
              <a:ext cx="54775" cy="53550"/>
            </a:xfrm>
            <a:custGeom>
              <a:avLst/>
              <a:gdLst/>
              <a:ahLst/>
              <a:cxnLst/>
              <a:rect l="l" t="t" r="r" b="b"/>
              <a:pathLst>
                <a:path w="2191" h="2142" extrusionOk="0">
                  <a:moveTo>
                    <a:pt x="220" y="1"/>
                  </a:moveTo>
                  <a:cubicBezTo>
                    <a:pt x="170" y="1"/>
                    <a:pt x="119" y="19"/>
                    <a:pt x="83" y="55"/>
                  </a:cubicBezTo>
                  <a:cubicBezTo>
                    <a:pt x="0" y="138"/>
                    <a:pt x="0" y="257"/>
                    <a:pt x="83" y="328"/>
                  </a:cubicBezTo>
                  <a:lnTo>
                    <a:pt x="1834" y="2079"/>
                  </a:lnTo>
                  <a:cubicBezTo>
                    <a:pt x="1875" y="2120"/>
                    <a:pt x="1926" y="2141"/>
                    <a:pt x="1975" y="2141"/>
                  </a:cubicBezTo>
                  <a:cubicBezTo>
                    <a:pt x="2024" y="2141"/>
                    <a:pt x="2072" y="2120"/>
                    <a:pt x="2108" y="2079"/>
                  </a:cubicBezTo>
                  <a:cubicBezTo>
                    <a:pt x="2191" y="2007"/>
                    <a:pt x="2191" y="1876"/>
                    <a:pt x="2108" y="1805"/>
                  </a:cubicBezTo>
                  <a:lnTo>
                    <a:pt x="357" y="55"/>
                  </a:lnTo>
                  <a:cubicBezTo>
                    <a:pt x="322" y="19"/>
                    <a:pt x="271" y="1"/>
                    <a:pt x="220" y="1"/>
                  </a:cubicBezTo>
                  <a:close/>
                </a:path>
              </a:pathLst>
            </a:custGeom>
            <a:grpFill/>
            <a:ln>
              <a:noFill/>
            </a:ln>
          </xdr:spPr>
          <xdr:txBody>
            <a:bodyPr spcFirstLastPara="1" wrap="square" lIns="121900" tIns="121900" rIns="121900" bIns="121900" anchor="ctr" anchorCtr="0">
              <a:no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1219170">
                <a:buClr>
                  <a:srgbClr val="000000"/>
                </a:buClr>
              </a:pPr>
              <a:endParaRPr sz="1867" kern="0">
                <a:noFill/>
                <a:latin typeface="Arial"/>
                <a:cs typeface="Arial"/>
                <a:sym typeface="Arial"/>
              </a:endParaRPr>
            </a:p>
          </xdr:txBody>
        </xdr:sp>
      </xdr:grpSp>
    </xdr:grpSp>
    <xdr:clientData/>
  </xdr:twoCellAnchor>
  <xdr:twoCellAnchor editAs="absolute">
    <xdr:from>
      <xdr:col>8</xdr:col>
      <xdr:colOff>19054</xdr:colOff>
      <xdr:row>1</xdr:row>
      <xdr:rowOff>106567</xdr:rowOff>
    </xdr:from>
    <xdr:to>
      <xdr:col>10</xdr:col>
      <xdr:colOff>253367</xdr:colOff>
      <xdr:row>4</xdr:row>
      <xdr:rowOff>174340</xdr:rowOff>
    </xdr:to>
    <xdr:sp macro="" textlink="">
      <xdr:nvSpPr>
        <xdr:cNvPr id="16" name="Rectángulo redondeado 132">
          <a:hlinkClick xmlns:r="http://schemas.openxmlformats.org/officeDocument/2006/relationships" r:id="rId3"/>
          <a:extLst>
            <a:ext uri="{FF2B5EF4-FFF2-40B4-BE49-F238E27FC236}">
              <a16:creationId xmlns:a16="http://schemas.microsoft.com/office/drawing/2014/main" id="{4C839811-6CD1-43F8-A55B-AC7C50CD2184}"/>
            </a:ext>
          </a:extLst>
        </xdr:cNvPr>
        <xdr:cNvSpPr/>
      </xdr:nvSpPr>
      <xdr:spPr>
        <a:xfrm>
          <a:off x="7567617" y="963817"/>
          <a:ext cx="2052000" cy="639273"/>
        </a:xfrm>
        <a:prstGeom prst="roundRect">
          <a:avLst>
            <a:gd name="adj" fmla="val 29902"/>
          </a:avLst>
        </a:prstGeom>
        <a:solidFill>
          <a:srgbClr val="20331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latin typeface="Opella Sans" pitchFamily="2" charset="0"/>
              <a:cs typeface="Opella Sans" pitchFamily="2" charset="0"/>
            </a:rPr>
            <a:t>Ir a:</a:t>
          </a:r>
        </a:p>
        <a:p>
          <a:pPr algn="l"/>
          <a:r>
            <a:rPr lang="es-CO" sz="1100" b="1">
              <a:solidFill>
                <a:schemeClr val="lt1"/>
              </a:solidFill>
              <a:effectLst/>
              <a:latin typeface="Opella Sans" pitchFamily="2" charset="0"/>
              <a:ea typeface="+mn-ea"/>
              <a:cs typeface="Opella Sans" pitchFamily="2" charset="0"/>
            </a:rPr>
            <a:t>Diferencia de Precios.</a:t>
          </a:r>
          <a:endParaRPr lang="es-CO" sz="1100" b="1">
            <a:latin typeface="Opella Sans" pitchFamily="2" charset="0"/>
            <a:cs typeface="Opella Sans" pitchFamily="2" charset="0"/>
          </a:endParaRPr>
        </a:p>
      </xdr:txBody>
    </xdr:sp>
    <xdr:clientData/>
  </xdr:twoCellAnchor>
  <xdr:twoCellAnchor editAs="absolute">
    <xdr:from>
      <xdr:col>2</xdr:col>
      <xdr:colOff>3</xdr:colOff>
      <xdr:row>1</xdr:row>
      <xdr:rowOff>106757</xdr:rowOff>
    </xdr:from>
    <xdr:to>
      <xdr:col>3</xdr:col>
      <xdr:colOff>722317</xdr:colOff>
      <xdr:row>4</xdr:row>
      <xdr:rowOff>176057</xdr:rowOff>
    </xdr:to>
    <xdr:sp macro="" textlink="">
      <xdr:nvSpPr>
        <xdr:cNvPr id="41" name="Rectángulo redondeado 132">
          <a:hlinkClick xmlns:r="http://schemas.openxmlformats.org/officeDocument/2006/relationships" r:id="rId4"/>
          <a:extLst>
            <a:ext uri="{FF2B5EF4-FFF2-40B4-BE49-F238E27FC236}">
              <a16:creationId xmlns:a16="http://schemas.microsoft.com/office/drawing/2014/main" id="{A2CB460C-260B-405B-8A8E-F9AC21A7EA98}"/>
            </a:ext>
          </a:extLst>
        </xdr:cNvPr>
        <xdr:cNvSpPr>
          <a:spLocks noChangeAspect="1"/>
        </xdr:cNvSpPr>
      </xdr:nvSpPr>
      <xdr:spPr>
        <a:xfrm>
          <a:off x="849316" y="964007"/>
          <a:ext cx="2063751" cy="640800"/>
        </a:xfrm>
        <a:prstGeom prst="roundRect">
          <a:avLst>
            <a:gd name="adj" fmla="val 29902"/>
          </a:avLst>
        </a:prstGeom>
        <a:solidFill>
          <a:srgbClr val="20331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latin typeface="Opella Sans" pitchFamily="2" charset="0"/>
              <a:cs typeface="Opella Sans" pitchFamily="2" charset="0"/>
            </a:rPr>
            <a:t>Ir a:</a:t>
          </a:r>
        </a:p>
        <a:p>
          <a:pPr algn="l"/>
          <a:r>
            <a:rPr lang="es-CO" sz="1100" b="1" baseline="0">
              <a:solidFill>
                <a:schemeClr val="lt1"/>
              </a:solidFill>
              <a:effectLst/>
              <a:latin typeface="Opella Sans" pitchFamily="2" charset="0"/>
              <a:ea typeface="+mn-ea"/>
              <a:cs typeface="Opella Sans" pitchFamily="2" charset="0"/>
            </a:rPr>
            <a:t>Facturado sin Novedad</a:t>
          </a:r>
          <a:r>
            <a:rPr lang="es-CO" sz="1100" b="1">
              <a:solidFill>
                <a:schemeClr val="lt1"/>
              </a:solidFill>
              <a:effectLst/>
              <a:latin typeface="Opella Sans" pitchFamily="2" charset="0"/>
              <a:ea typeface="+mn-ea"/>
              <a:cs typeface="Opella Sans" pitchFamily="2" charset="0"/>
            </a:rPr>
            <a:t>.</a:t>
          </a:r>
          <a:endParaRPr lang="es-CO">
            <a:effectLst/>
            <a:latin typeface="Opella Sans" pitchFamily="2" charset="0"/>
            <a:cs typeface="Opella Sans" pitchFamily="2" charset="0"/>
          </a:endParaRPr>
        </a:p>
      </xdr:txBody>
    </xdr:sp>
    <xdr:clientData/>
  </xdr:twoCellAnchor>
  <xdr:twoCellAnchor editAs="oneCell">
    <xdr:from>
      <xdr:col>3</xdr:col>
      <xdr:colOff>579438</xdr:colOff>
      <xdr:row>5</xdr:row>
      <xdr:rowOff>165100</xdr:rowOff>
    </xdr:from>
    <xdr:to>
      <xdr:col>8</xdr:col>
      <xdr:colOff>365125</xdr:colOff>
      <xdr:row>10</xdr:row>
      <xdr:rowOff>71437</xdr:rowOff>
    </xdr:to>
    <mc:AlternateContent xmlns:mc="http://schemas.openxmlformats.org/markup-compatibility/2006" xmlns:a14="http://schemas.microsoft.com/office/drawing/2010/main">
      <mc:Choice Requires="a14">
        <xdr:graphicFrame macro="">
          <xdr:nvGraphicFramePr>
            <xdr:cNvPr id="3" name="Ship To - City">
              <a:extLst>
                <a:ext uri="{FF2B5EF4-FFF2-40B4-BE49-F238E27FC236}">
                  <a16:creationId xmlns:a16="http://schemas.microsoft.com/office/drawing/2014/main" id="{4E6BD418-ADB9-FAD9-7E33-CE78DB21CDE5}"/>
                </a:ext>
              </a:extLst>
            </xdr:cNvPr>
            <xdr:cNvGraphicFramePr/>
          </xdr:nvGraphicFramePr>
          <xdr:xfrm>
            <a:off x="0" y="0"/>
            <a:ext cx="0" cy="0"/>
          </xdr:xfrm>
          <a:graphic>
            <a:graphicData uri="http://schemas.microsoft.com/office/drawing/2010/slicer">
              <sle:slicer xmlns:sle="http://schemas.microsoft.com/office/drawing/2010/slicer" name="Ship To - City"/>
            </a:graphicData>
          </a:graphic>
        </xdr:graphicFrame>
      </mc:Choice>
      <mc:Fallback xmlns="">
        <xdr:sp macro="" textlink="">
          <xdr:nvSpPr>
            <xdr:cNvPr id="0" name=""/>
            <xdr:cNvSpPr>
              <a:spLocks noTextEdit="1"/>
            </xdr:cNvSpPr>
          </xdr:nvSpPr>
          <xdr:spPr>
            <a:xfrm>
              <a:off x="2770188" y="1784350"/>
              <a:ext cx="5143500" cy="1041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582611</xdr:colOff>
      <xdr:row>5</xdr:row>
      <xdr:rowOff>165100</xdr:rowOff>
    </xdr:from>
    <xdr:to>
      <xdr:col>10</xdr:col>
      <xdr:colOff>593724</xdr:colOff>
      <xdr:row>17</xdr:row>
      <xdr:rowOff>109537</xdr:rowOff>
    </xdr:to>
    <mc:AlternateContent xmlns:mc="http://schemas.openxmlformats.org/markup-compatibility/2006" xmlns:a14="http://schemas.microsoft.com/office/drawing/2010/main">
      <mc:Choice Requires="a14">
        <xdr:graphicFrame macro="">
          <xdr:nvGraphicFramePr>
            <xdr:cNvPr id="5" name="Customer PO">
              <a:extLst>
                <a:ext uri="{FF2B5EF4-FFF2-40B4-BE49-F238E27FC236}">
                  <a16:creationId xmlns:a16="http://schemas.microsoft.com/office/drawing/2014/main" id="{D3A27809-F646-61CA-13C1-41D55D8270B1}"/>
                </a:ext>
              </a:extLst>
            </xdr:cNvPr>
            <xdr:cNvGraphicFramePr/>
          </xdr:nvGraphicFramePr>
          <xdr:xfrm>
            <a:off x="0" y="0"/>
            <a:ext cx="0" cy="0"/>
          </xdr:xfrm>
          <a:graphic>
            <a:graphicData uri="http://schemas.microsoft.com/office/drawing/2010/slicer">
              <sle:slicer xmlns:sle="http://schemas.microsoft.com/office/drawing/2010/slicer" name="Customer PO"/>
            </a:graphicData>
          </a:graphic>
        </xdr:graphicFrame>
      </mc:Choice>
      <mc:Fallback xmlns="">
        <xdr:sp macro="" textlink="">
          <xdr:nvSpPr>
            <xdr:cNvPr id="0" name=""/>
            <xdr:cNvSpPr>
              <a:spLocks noTextEdit="1"/>
            </xdr:cNvSpPr>
          </xdr:nvSpPr>
          <xdr:spPr>
            <a:xfrm>
              <a:off x="8131174" y="1784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209550</xdr:colOff>
      <xdr:row>5</xdr:row>
      <xdr:rowOff>157164</xdr:rowOff>
    </xdr:from>
    <xdr:to>
      <xdr:col>3</xdr:col>
      <xdr:colOff>244475</xdr:colOff>
      <xdr:row>17</xdr:row>
      <xdr:rowOff>101601</xdr:rowOff>
    </xdr:to>
    <mc:AlternateContent xmlns:mc="http://schemas.openxmlformats.org/markup-compatibility/2006" xmlns:a14="http://schemas.microsoft.com/office/drawing/2010/main">
      <mc:Choice Requires="a14">
        <xdr:graphicFrame macro="">
          <xdr:nvGraphicFramePr>
            <xdr:cNvPr id="7" name="Sales Doc. Creation">
              <a:extLst>
                <a:ext uri="{FF2B5EF4-FFF2-40B4-BE49-F238E27FC236}">
                  <a16:creationId xmlns:a16="http://schemas.microsoft.com/office/drawing/2014/main" id="{471F0753-8CE5-2651-CABB-6DB9D31B3FDB}"/>
                </a:ext>
              </a:extLst>
            </xdr:cNvPr>
            <xdr:cNvGraphicFramePr/>
          </xdr:nvGraphicFramePr>
          <xdr:xfrm>
            <a:off x="0" y="0"/>
            <a:ext cx="0" cy="0"/>
          </xdr:xfrm>
          <a:graphic>
            <a:graphicData uri="http://schemas.microsoft.com/office/drawing/2010/slicer">
              <sle:slicer xmlns:sle="http://schemas.microsoft.com/office/drawing/2010/slicer" name="Sales Doc. Creation"/>
            </a:graphicData>
          </a:graphic>
        </xdr:graphicFrame>
      </mc:Choice>
      <mc:Fallback xmlns="">
        <xdr:sp macro="" textlink="">
          <xdr:nvSpPr>
            <xdr:cNvPr id="0" name=""/>
            <xdr:cNvSpPr>
              <a:spLocks noTextEdit="1"/>
            </xdr:cNvSpPr>
          </xdr:nvSpPr>
          <xdr:spPr>
            <a:xfrm>
              <a:off x="209550" y="136366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23930</xdr:colOff>
      <xdr:row>0</xdr:row>
      <xdr:rowOff>0</xdr:rowOff>
    </xdr:from>
    <xdr:to>
      <xdr:col>14</xdr:col>
      <xdr:colOff>23817</xdr:colOff>
      <xdr:row>1</xdr:row>
      <xdr:rowOff>126999</xdr:rowOff>
    </xdr:to>
    <xdr:pic>
      <xdr:nvPicPr>
        <xdr:cNvPr id="12" name="Graphic 11">
          <a:extLst>
            <a:ext uri="{FF2B5EF4-FFF2-40B4-BE49-F238E27FC236}">
              <a16:creationId xmlns:a16="http://schemas.microsoft.com/office/drawing/2014/main" id="{44ED6C75-90C4-23F5-4667-52003D8D7DE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 xmlns:asvg="http://schemas.microsoft.com/office/drawing/2016/SVG/main" r:embed="rId6"/>
            </a:ext>
          </a:extLst>
        </a:blip>
        <a:stretch>
          <a:fillRect/>
        </a:stretch>
      </xdr:blipFill>
      <xdr:spPr>
        <a:xfrm>
          <a:off x="8024930" y="0"/>
          <a:ext cx="3984512" cy="984249"/>
        </a:xfrm>
        <a:prstGeom prst="rect">
          <a:avLst/>
        </a:prstGeom>
      </xdr:spPr>
    </xdr:pic>
    <xdr:clientData/>
  </xdr:twoCellAnchor>
  <xdr:twoCellAnchor editAs="absolute">
    <xdr:from>
      <xdr:col>10</xdr:col>
      <xdr:colOff>457204</xdr:colOff>
      <xdr:row>1</xdr:row>
      <xdr:rowOff>108154</xdr:rowOff>
    </xdr:from>
    <xdr:to>
      <xdr:col>13</xdr:col>
      <xdr:colOff>24766</xdr:colOff>
      <xdr:row>4</xdr:row>
      <xdr:rowOff>175927</xdr:rowOff>
    </xdr:to>
    <xdr:sp macro="" textlink="">
      <xdr:nvSpPr>
        <xdr:cNvPr id="2" name="Rectángulo redondeado 132">
          <a:hlinkClick xmlns:r="http://schemas.openxmlformats.org/officeDocument/2006/relationships" r:id="rId7"/>
          <a:extLst>
            <a:ext uri="{FF2B5EF4-FFF2-40B4-BE49-F238E27FC236}">
              <a16:creationId xmlns:a16="http://schemas.microsoft.com/office/drawing/2014/main" id="{69525324-ED2D-42FD-900B-0A221D1B9F72}"/>
            </a:ext>
          </a:extLst>
        </xdr:cNvPr>
        <xdr:cNvSpPr/>
      </xdr:nvSpPr>
      <xdr:spPr>
        <a:xfrm>
          <a:off x="9823454" y="965404"/>
          <a:ext cx="2052000" cy="639273"/>
        </a:xfrm>
        <a:prstGeom prst="roundRect">
          <a:avLst>
            <a:gd name="adj" fmla="val 29902"/>
          </a:avLst>
        </a:prstGeom>
        <a:solidFill>
          <a:srgbClr val="20331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latin typeface="Opella Sans" pitchFamily="2" charset="0"/>
              <a:cs typeface="Opella Sans" pitchFamily="2" charset="0"/>
            </a:rPr>
            <a:t>Ir a:</a:t>
          </a:r>
        </a:p>
        <a:p>
          <a:pPr algn="l"/>
          <a:r>
            <a:rPr lang="es-CO" sz="1100" b="1">
              <a:solidFill>
                <a:schemeClr val="lt1"/>
              </a:solidFill>
              <a:effectLst/>
              <a:latin typeface="Opella Sans" pitchFamily="2" charset="0"/>
              <a:ea typeface="+mn-ea"/>
              <a:cs typeface="Opella Sans" pitchFamily="2" charset="0"/>
            </a:rPr>
            <a:t>Otros</a:t>
          </a:r>
          <a:r>
            <a:rPr lang="es-CO" sz="1100" b="1" baseline="0">
              <a:solidFill>
                <a:schemeClr val="lt1"/>
              </a:solidFill>
              <a:effectLst/>
              <a:latin typeface="Opella Sans" pitchFamily="2" charset="0"/>
              <a:ea typeface="+mn-ea"/>
              <a:cs typeface="Opella Sans" pitchFamily="2" charset="0"/>
            </a:rPr>
            <a:t> Motivos</a:t>
          </a:r>
          <a:r>
            <a:rPr lang="es-CO" sz="1100" b="1">
              <a:solidFill>
                <a:schemeClr val="lt1"/>
              </a:solidFill>
              <a:effectLst/>
              <a:latin typeface="Opella Sans" pitchFamily="2" charset="0"/>
              <a:ea typeface="+mn-ea"/>
              <a:cs typeface="Opella Sans" pitchFamily="2" charset="0"/>
            </a:rPr>
            <a:t>.</a:t>
          </a:r>
          <a:endParaRPr lang="es-CO" sz="1100" b="1">
            <a:latin typeface="Opella Sans" pitchFamily="2" charset="0"/>
            <a:cs typeface="Opella Sans" pitchFamily="2"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3074988</xdr:colOff>
      <xdr:row>1</xdr:row>
      <xdr:rowOff>15875</xdr:rowOff>
    </xdr:from>
    <xdr:to>
      <xdr:col>6</xdr:col>
      <xdr:colOff>523876</xdr:colOff>
      <xdr:row>3</xdr:row>
      <xdr:rowOff>117475</xdr:rowOff>
    </xdr:to>
    <xdr:sp macro="" textlink="">
      <xdr:nvSpPr>
        <xdr:cNvPr id="4" name="Flecha: hacia la izquierda 3">
          <a:hlinkClick xmlns:r="http://schemas.openxmlformats.org/officeDocument/2006/relationships" r:id="rId1"/>
          <a:extLst>
            <a:ext uri="{FF2B5EF4-FFF2-40B4-BE49-F238E27FC236}">
              <a16:creationId xmlns:a16="http://schemas.microsoft.com/office/drawing/2014/main" id="{70719CB4-906C-4CAD-98C4-070FF76A28B6}"/>
            </a:ext>
          </a:extLst>
        </xdr:cNvPr>
        <xdr:cNvSpPr>
          <a:spLocks noChangeAspect="1"/>
        </xdr:cNvSpPr>
      </xdr:nvSpPr>
      <xdr:spPr>
        <a:xfrm>
          <a:off x="9504363" y="579438"/>
          <a:ext cx="989013" cy="450850"/>
        </a:xfrm>
        <a:prstGeom prst="leftArrow">
          <a:avLst/>
        </a:prstGeom>
        <a:solidFill>
          <a:srgbClr val="203315"/>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a:latin typeface="Opella Sans" pitchFamily="2" charset="0"/>
              <a:cs typeface="Opella Sans" pitchFamily="2" charset="0"/>
            </a:rPr>
            <a:t>volver</a:t>
          </a:r>
        </a:p>
      </xdr:txBody>
    </xdr:sp>
    <xdr:clientData/>
  </xdr:twoCellAnchor>
  <xdr:twoCellAnchor editAs="oneCell">
    <xdr:from>
      <xdr:col>0</xdr:col>
      <xdr:colOff>0</xdr:colOff>
      <xdr:row>0</xdr:row>
      <xdr:rowOff>0</xdr:rowOff>
    </xdr:from>
    <xdr:to>
      <xdr:col>2</xdr:col>
      <xdr:colOff>809625</xdr:colOff>
      <xdr:row>1</xdr:row>
      <xdr:rowOff>71707</xdr:rowOff>
    </xdr:to>
    <xdr:pic>
      <xdr:nvPicPr>
        <xdr:cNvPr id="3" name="Graphic 2">
          <a:extLst>
            <a:ext uri="{FF2B5EF4-FFF2-40B4-BE49-F238E27FC236}">
              <a16:creationId xmlns:a16="http://schemas.microsoft.com/office/drawing/2014/main" id="{BEFA4584-E8C5-460F-B03C-9940B08ABE4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 xmlns:asvg="http://schemas.microsoft.com/office/drawing/2016/SVG/main" r:embed="rId3"/>
            </a:ext>
          </a:extLst>
        </a:blip>
        <a:stretch>
          <a:fillRect/>
        </a:stretch>
      </xdr:blipFill>
      <xdr:spPr>
        <a:xfrm>
          <a:off x="0" y="0"/>
          <a:ext cx="2571750" cy="6352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5</xdr:col>
      <xdr:colOff>3074988</xdr:colOff>
      <xdr:row>1</xdr:row>
      <xdr:rowOff>15875</xdr:rowOff>
    </xdr:from>
    <xdr:to>
      <xdr:col>6</xdr:col>
      <xdr:colOff>523876</xdr:colOff>
      <xdr:row>3</xdr:row>
      <xdr:rowOff>117475</xdr:rowOff>
    </xdr:to>
    <xdr:sp macro="" textlink="">
      <xdr:nvSpPr>
        <xdr:cNvPr id="2" name="Flecha: hacia la izquierda 3">
          <a:hlinkClick xmlns:r="http://schemas.openxmlformats.org/officeDocument/2006/relationships" r:id="rId1"/>
          <a:extLst>
            <a:ext uri="{FF2B5EF4-FFF2-40B4-BE49-F238E27FC236}">
              <a16:creationId xmlns:a16="http://schemas.microsoft.com/office/drawing/2014/main" id="{762AE753-75B3-43EB-A07F-482A17367DBA}"/>
            </a:ext>
          </a:extLst>
        </xdr:cNvPr>
        <xdr:cNvSpPr>
          <a:spLocks noChangeAspect="1"/>
        </xdr:cNvSpPr>
      </xdr:nvSpPr>
      <xdr:spPr>
        <a:xfrm>
          <a:off x="9501188" y="581025"/>
          <a:ext cx="990600" cy="454025"/>
        </a:xfrm>
        <a:prstGeom prst="leftArrow">
          <a:avLst/>
        </a:prstGeom>
        <a:solidFill>
          <a:srgbClr val="203315"/>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a:latin typeface="Opella Sans" pitchFamily="2" charset="0"/>
              <a:cs typeface="Opella Sans" pitchFamily="2" charset="0"/>
            </a:rPr>
            <a:t>volver</a:t>
          </a:r>
        </a:p>
      </xdr:txBody>
    </xdr:sp>
    <xdr:clientData/>
  </xdr:twoCellAnchor>
  <xdr:twoCellAnchor editAs="oneCell">
    <xdr:from>
      <xdr:col>0</xdr:col>
      <xdr:colOff>0</xdr:colOff>
      <xdr:row>0</xdr:row>
      <xdr:rowOff>0</xdr:rowOff>
    </xdr:from>
    <xdr:to>
      <xdr:col>2</xdr:col>
      <xdr:colOff>809625</xdr:colOff>
      <xdr:row>1</xdr:row>
      <xdr:rowOff>71707</xdr:rowOff>
    </xdr:to>
    <xdr:pic>
      <xdr:nvPicPr>
        <xdr:cNvPr id="4" name="Graphic 3">
          <a:extLst>
            <a:ext uri="{FF2B5EF4-FFF2-40B4-BE49-F238E27FC236}">
              <a16:creationId xmlns:a16="http://schemas.microsoft.com/office/drawing/2014/main" id="{9B0C596A-C612-46C6-B74D-7DD8CA13D81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 xmlns:asvg="http://schemas.microsoft.com/office/drawing/2016/SVG/main" r:embed="rId3"/>
            </a:ext>
          </a:extLst>
        </a:blip>
        <a:stretch>
          <a:fillRect/>
        </a:stretch>
      </xdr:blipFill>
      <xdr:spPr>
        <a:xfrm>
          <a:off x="0" y="0"/>
          <a:ext cx="2571750" cy="63527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5</xdr:col>
      <xdr:colOff>2916238</xdr:colOff>
      <xdr:row>1</xdr:row>
      <xdr:rowOff>15875</xdr:rowOff>
    </xdr:from>
    <xdr:to>
      <xdr:col>6</xdr:col>
      <xdr:colOff>365126</xdr:colOff>
      <xdr:row>3</xdr:row>
      <xdr:rowOff>117475</xdr:rowOff>
    </xdr:to>
    <xdr:sp macro="" textlink="">
      <xdr:nvSpPr>
        <xdr:cNvPr id="2" name="Flecha: hacia la izquierda 3">
          <a:hlinkClick xmlns:r="http://schemas.openxmlformats.org/officeDocument/2006/relationships" r:id="rId1"/>
          <a:extLst>
            <a:ext uri="{FF2B5EF4-FFF2-40B4-BE49-F238E27FC236}">
              <a16:creationId xmlns:a16="http://schemas.microsoft.com/office/drawing/2014/main" id="{349FDB86-E6FD-4021-8BD7-3A90F324B983}"/>
            </a:ext>
          </a:extLst>
        </xdr:cNvPr>
        <xdr:cNvSpPr>
          <a:spLocks noChangeAspect="1"/>
        </xdr:cNvSpPr>
      </xdr:nvSpPr>
      <xdr:spPr>
        <a:xfrm>
          <a:off x="9501188" y="581025"/>
          <a:ext cx="990600" cy="454025"/>
        </a:xfrm>
        <a:prstGeom prst="leftArrow">
          <a:avLst/>
        </a:prstGeom>
        <a:solidFill>
          <a:srgbClr val="203315"/>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a:latin typeface="Opella Sans" pitchFamily="2" charset="0"/>
              <a:cs typeface="Opella Sans" pitchFamily="2" charset="0"/>
            </a:rPr>
            <a:t>volver</a:t>
          </a:r>
        </a:p>
      </xdr:txBody>
    </xdr:sp>
    <xdr:clientData/>
  </xdr:twoCellAnchor>
  <xdr:twoCellAnchor editAs="oneCell">
    <xdr:from>
      <xdr:col>0</xdr:col>
      <xdr:colOff>0</xdr:colOff>
      <xdr:row>0</xdr:row>
      <xdr:rowOff>0</xdr:rowOff>
    </xdr:from>
    <xdr:to>
      <xdr:col>2</xdr:col>
      <xdr:colOff>809625</xdr:colOff>
      <xdr:row>1</xdr:row>
      <xdr:rowOff>71707</xdr:rowOff>
    </xdr:to>
    <xdr:pic>
      <xdr:nvPicPr>
        <xdr:cNvPr id="3" name="Graphic 2">
          <a:extLst>
            <a:ext uri="{FF2B5EF4-FFF2-40B4-BE49-F238E27FC236}">
              <a16:creationId xmlns:a16="http://schemas.microsoft.com/office/drawing/2014/main" id="{4A2D4E48-F5D5-4964-9DB8-D5ADD93F798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 xmlns:asvg="http://schemas.microsoft.com/office/drawing/2016/SVG/main" r:embed="rId3"/>
            </a:ext>
          </a:extLst>
        </a:blip>
        <a:stretch>
          <a:fillRect/>
        </a:stretch>
      </xdr:blipFill>
      <xdr:spPr>
        <a:xfrm>
          <a:off x="0" y="0"/>
          <a:ext cx="2571750" cy="63527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5</xdr:col>
      <xdr:colOff>3074988</xdr:colOff>
      <xdr:row>1</xdr:row>
      <xdr:rowOff>15875</xdr:rowOff>
    </xdr:from>
    <xdr:to>
      <xdr:col>6</xdr:col>
      <xdr:colOff>523876</xdr:colOff>
      <xdr:row>3</xdr:row>
      <xdr:rowOff>117475</xdr:rowOff>
    </xdr:to>
    <xdr:sp macro="" textlink="">
      <xdr:nvSpPr>
        <xdr:cNvPr id="2" name="Flecha: hacia la izquierda 3">
          <a:hlinkClick xmlns:r="http://schemas.openxmlformats.org/officeDocument/2006/relationships" r:id="rId1"/>
          <a:extLst>
            <a:ext uri="{FF2B5EF4-FFF2-40B4-BE49-F238E27FC236}">
              <a16:creationId xmlns:a16="http://schemas.microsoft.com/office/drawing/2014/main" id="{25AD4B1C-0C08-4E16-B419-D7E957253C9D}"/>
            </a:ext>
          </a:extLst>
        </xdr:cNvPr>
        <xdr:cNvSpPr>
          <a:spLocks noChangeAspect="1"/>
        </xdr:cNvSpPr>
      </xdr:nvSpPr>
      <xdr:spPr>
        <a:xfrm>
          <a:off x="9501188" y="581025"/>
          <a:ext cx="990600" cy="454025"/>
        </a:xfrm>
        <a:prstGeom prst="leftArrow">
          <a:avLst/>
        </a:prstGeom>
        <a:solidFill>
          <a:srgbClr val="203315"/>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a:latin typeface="Opella Sans" pitchFamily="2" charset="0"/>
              <a:cs typeface="Opella Sans" pitchFamily="2" charset="0"/>
            </a:rPr>
            <a:t>volver</a:t>
          </a:r>
        </a:p>
      </xdr:txBody>
    </xdr:sp>
    <xdr:clientData/>
  </xdr:twoCellAnchor>
  <xdr:twoCellAnchor editAs="oneCell">
    <xdr:from>
      <xdr:col>0</xdr:col>
      <xdr:colOff>0</xdr:colOff>
      <xdr:row>0</xdr:row>
      <xdr:rowOff>0</xdr:rowOff>
    </xdr:from>
    <xdr:to>
      <xdr:col>2</xdr:col>
      <xdr:colOff>809625</xdr:colOff>
      <xdr:row>1</xdr:row>
      <xdr:rowOff>71707</xdr:rowOff>
    </xdr:to>
    <xdr:pic>
      <xdr:nvPicPr>
        <xdr:cNvPr id="3" name="Graphic 2">
          <a:extLst>
            <a:ext uri="{FF2B5EF4-FFF2-40B4-BE49-F238E27FC236}">
              <a16:creationId xmlns:a16="http://schemas.microsoft.com/office/drawing/2014/main" id="{E300CABC-12B3-43EA-AA83-6701757E3FE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 xmlns:asvg="http://schemas.microsoft.com/office/drawing/2016/SVG/main" r:embed="rId3"/>
            </a:ext>
          </a:extLst>
        </a:blip>
        <a:stretch>
          <a:fillRect/>
        </a:stretch>
      </xdr:blipFill>
      <xdr:spPr>
        <a:xfrm>
          <a:off x="0" y="0"/>
          <a:ext cx="2571750" cy="63527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6</xdr:col>
      <xdr:colOff>1296988</xdr:colOff>
      <xdr:row>1</xdr:row>
      <xdr:rowOff>15875</xdr:rowOff>
    </xdr:from>
    <xdr:to>
      <xdr:col>6</xdr:col>
      <xdr:colOff>2286001</xdr:colOff>
      <xdr:row>3</xdr:row>
      <xdr:rowOff>117475</xdr:rowOff>
    </xdr:to>
    <xdr:sp macro="" textlink="">
      <xdr:nvSpPr>
        <xdr:cNvPr id="2" name="Flecha: hacia la izquierda 3">
          <a:hlinkClick xmlns:r="http://schemas.openxmlformats.org/officeDocument/2006/relationships" r:id="rId1"/>
          <a:extLst>
            <a:ext uri="{FF2B5EF4-FFF2-40B4-BE49-F238E27FC236}">
              <a16:creationId xmlns:a16="http://schemas.microsoft.com/office/drawing/2014/main" id="{E348FAD4-0B58-4386-BE79-36A1C5EAFA9A}"/>
            </a:ext>
          </a:extLst>
        </xdr:cNvPr>
        <xdr:cNvSpPr>
          <a:spLocks noChangeAspect="1"/>
        </xdr:cNvSpPr>
      </xdr:nvSpPr>
      <xdr:spPr>
        <a:xfrm>
          <a:off x="9517063" y="581025"/>
          <a:ext cx="989013" cy="457200"/>
        </a:xfrm>
        <a:prstGeom prst="leftArrow">
          <a:avLst/>
        </a:prstGeom>
        <a:solidFill>
          <a:srgbClr val="203315"/>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a:latin typeface="Opella Sans" pitchFamily="2" charset="0"/>
              <a:cs typeface="Opella Sans" pitchFamily="2" charset="0"/>
            </a:rPr>
            <a:t>volver</a:t>
          </a:r>
        </a:p>
      </xdr:txBody>
    </xdr:sp>
    <xdr:clientData/>
  </xdr:twoCellAnchor>
  <xdr:twoCellAnchor editAs="oneCell">
    <xdr:from>
      <xdr:col>0</xdr:col>
      <xdr:colOff>0</xdr:colOff>
      <xdr:row>0</xdr:row>
      <xdr:rowOff>0</xdr:rowOff>
    </xdr:from>
    <xdr:to>
      <xdr:col>1</xdr:col>
      <xdr:colOff>2293937</xdr:colOff>
      <xdr:row>1</xdr:row>
      <xdr:rowOff>71707</xdr:rowOff>
    </xdr:to>
    <xdr:pic>
      <xdr:nvPicPr>
        <xdr:cNvPr id="3" name="Graphic 2">
          <a:extLst>
            <a:ext uri="{FF2B5EF4-FFF2-40B4-BE49-F238E27FC236}">
              <a16:creationId xmlns:a16="http://schemas.microsoft.com/office/drawing/2014/main" id="{3F0A86BF-CBA3-4A1C-BD1F-982FBFFC8A6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 xmlns:asvg="http://schemas.microsoft.com/office/drawing/2016/SVG/main" r:embed="rId3"/>
            </a:ext>
          </a:extLst>
        </a:blip>
        <a:stretch>
          <a:fillRect/>
        </a:stretch>
      </xdr:blipFill>
      <xdr:spPr>
        <a:xfrm>
          <a:off x="0" y="0"/>
          <a:ext cx="2574925" cy="63685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airon Alonso" refreshedDate="45618.357945601849" createdVersion="8" refreshedVersion="6" minRefreshableVersion="3" recordCount="1">
  <cacheSource type="worksheet">
    <worksheetSource name="Table2"/>
  </cacheSource>
  <cacheFields count="72">
    <cacheField name="Sales Org" numFmtId="0">
      <sharedItems containsNonDate="0" containsString="0" containsBlank="1"/>
    </cacheField>
    <cacheField name="Company Code" numFmtId="0">
      <sharedItems containsNonDate="0" containsString="0" containsBlank="1"/>
    </cacheField>
    <cacheField name="Canal" numFmtId="0">
      <sharedItems containsNonDate="0" containsBlank="1" count="4">
        <m/>
        <s v="" u="1"/>
        <s v="Retail" u="1"/>
        <s v="Institucional" u="1"/>
      </sharedItems>
    </cacheField>
    <cacheField name="Sold To Name" numFmtId="0">
      <sharedItems containsNonDate="0" containsString="0" containsBlank="1"/>
    </cacheField>
    <cacheField name="Sold To" numFmtId="0">
      <sharedItems containsNonDate="0" containsString="0" containsBlank="1"/>
    </cacheField>
    <cacheField name="Ship To" numFmtId="0">
      <sharedItems containsNonDate="0" containsString="0" containsBlank="1"/>
    </cacheField>
    <cacheField name="Ship To - City" numFmtId="0">
      <sharedItems containsNonDate="0" containsBlank="1" count="7">
        <m/>
        <s v="BUCARAMANGA" u="1"/>
        <s v="CALI" u="1"/>
        <s v="BARRANQUILLA" u="1"/>
        <s v="BOGOTÁ, D.C." u="1"/>
        <s v="TEGUCIGALPA" u="1"/>
        <s v="GUATEMALA" u="1"/>
      </sharedItems>
    </cacheField>
    <cacheField name="Ship To - Country" numFmtId="0">
      <sharedItems containsNonDate="0" containsString="0" containsBlank="1"/>
    </cacheField>
    <cacheField name="Document Type" numFmtId="0">
      <sharedItems containsNonDate="0" containsString="0" containsBlank="1"/>
    </cacheField>
    <cacheField name="Sales Document" numFmtId="0">
      <sharedItems containsNonDate="0" containsBlank="1" count="85">
        <m/>
        <s v="1066017286" u="1"/>
        <s v="1066015586" u="1"/>
        <s v="1066015409" u="1"/>
        <s v="1066015492" u="1"/>
        <s v="1066015620" u="1"/>
        <s v="1066015787" u="1"/>
        <s v="1066015841" u="1"/>
        <s v="1066015762" u="1"/>
        <s v="1066015511" u="1"/>
        <s v="1066015752" u="1"/>
        <s v="1066015806" u="1"/>
        <s v="1066016801" u="1"/>
        <s v="1066015727" u="1"/>
        <s v="1066016343" u="1"/>
        <s v="1066015407" u="1"/>
        <s v="1066015333" u="1"/>
        <s v="1066015717" u="1"/>
        <s v="1066017013" u="1"/>
        <s v="1066015490" u="1"/>
        <s v="1066015559" u="1"/>
        <s v="1066015628" u="1"/>
        <s v="1066015554" u="1"/>
        <s v="1069002153" u="1"/>
        <s v="1066016938" u="1"/>
        <s v="1066016618" u="1"/>
        <s v="1066015785" u="1"/>
        <s v="1066015608" u="1"/>
        <s v="1066015396" u="1"/>
        <s v="1066015844" u="1"/>
        <s v="1066015455" u="1"/>
        <s v="1066015696" u="1"/>
        <s v="1066015760" u="1"/>
        <s v="1066015509" u="1"/>
        <s v="1066015809" u="1"/>
        <s v="1066015410" u="1"/>
        <s v="1069002403" u="1"/>
        <s v="1066015587" u="1"/>
        <s v="1066015493" u="1"/>
        <s v="1066015626" u="1"/>
        <s v="1066015552" u="1"/>
        <s v="1066015621" u="1"/>
        <s v="1069002392" u="1"/>
        <s v="1066015788" u="1"/>
        <s v="1066015842" u="1"/>
        <s v="1066015763" u="1"/>
        <s v="1066015512" u="1"/>
        <s v="1066015753" u="1"/>
        <s v="1066015812" u="1"/>
        <s v="1066015807" u="1"/>
        <s v="1069002406" u="1"/>
        <s v="1066017285" u="1"/>
        <s v="1066015585" u="1"/>
        <s v="1066015408" u="1"/>
        <s v="1066015718" u="1"/>
        <s v="1066017014" u="1"/>
        <s v="1066015491" u="1"/>
        <s v="1066015560" u="1"/>
        <s v="1066015629" u="1"/>
        <s v="1066015555" u="1"/>
        <s v="1066016949" u="1"/>
        <s v="1069002154" u="1"/>
        <s v="1066015786" u="1"/>
        <s v="1066015609" u="1"/>
        <s v="1066015397" u="1"/>
        <s v="1066015840" u="1"/>
        <s v="1066015909" u="1"/>
        <s v="1066015761" u="1"/>
        <s v="1066015510" u="1"/>
        <s v="1066015751" u="1"/>
        <s v="1066016510" u="1"/>
        <s v="1066017111" u="1"/>
        <s v="1066016800" u="1"/>
        <s v="1066015588" u="1"/>
        <s v="1066015494" u="1"/>
        <s v="1066015489" u="1"/>
        <s v="1066015627" u="1"/>
        <s v="1066015553" u="1"/>
        <s v="1069002152" u="1"/>
        <s v="1066016799" u="1"/>
        <s v="1066015789" u="1"/>
        <s v="1069002383" u="1"/>
        <s v="1066015843" u="1"/>
        <s v="1066015754" u="1"/>
        <s v="1066015808" u="1"/>
      </sharedItems>
    </cacheField>
    <cacheField name="Customer PO" numFmtId="0">
      <sharedItems containsNonDate="0" containsBlank="1" count="83">
        <m/>
        <s v="1022037" u="1"/>
        <s v="001M0885157101" u="1"/>
        <s v="1022038" u="1"/>
        <s v="1022039" u="1"/>
        <s v="9997160" u="1"/>
        <s v="MUESTRAS REGULATORIO" u="1"/>
        <s v="1018467" u="1"/>
        <s v="8166453" u="1"/>
        <s v="8166454" u="1"/>
        <s v="1018469" u="1"/>
        <s v="001G0100228401" u="1"/>
        <s v="1019839" u="1"/>
        <s v="1021908" u="1"/>
        <s v="1021909" u="1"/>
        <s v="001M0885292501" u="1"/>
        <s v="1020640" u="1"/>
        <s v="1020641" u="1"/>
        <s v="9996230" u="1"/>
        <s v="8660023" u="1"/>
        <s v="001M0885052301" u="1"/>
        <s v="14965" u="1"/>
        <s v="1022178" u="1"/>
        <s v="1022179" u="1"/>
        <s v="9998395" u="1"/>
        <s v="1016723" u="1"/>
        <s v="1016724" u="1"/>
        <s v="1016725" u="1"/>
        <s v="1016726" u="1"/>
        <s v="9996741" u="1"/>
        <s v="8166797" u="1"/>
        <s v="8169292" u="1"/>
        <s v="9996742" u="1"/>
        <s v="9996743" u="1"/>
        <s v="1018130" u="1"/>
        <s v="001G0100269501" u="1"/>
        <s v="1018131" u="1"/>
        <s v="8165759" u="1"/>
        <s v="1018132" u="1"/>
        <s v="1018133" u="1"/>
        <s v="PO-00012683" u="1"/>
        <s v="8167241" u="1"/>
        <s v="9998986" u="1"/>
        <s v="9998987" u="1"/>
        <s v="1020638" u="1"/>
        <s v="1020912" u="1"/>
        <s v="1020639" u="1"/>
        <s v="1022040" u="1"/>
        <s v="1020913" u="1"/>
        <s v="001G0100314401" u="1"/>
        <s v="1020914" u="1"/>
        <s v="1020915" u="1"/>
        <s v="1018471" u="1"/>
        <s v="PO-00000506" u="1"/>
        <s v="1018472" u="1"/>
        <s v="1019840" u="1"/>
        <s v="1019841" u="1"/>
        <s v="1019842" u="1"/>
        <s v="8166238" u="1"/>
        <s v="1021910" u="1"/>
        <s v="8166239" u="1"/>
        <s v="1021911" u="1"/>
        <s v="8167757" u="1"/>
        <s v="9997854" u="1"/>
        <s v="001M0884876901" u="1"/>
        <s v="9997855" u="1"/>
        <s v="1017864" u="1"/>
        <s v="1017865" u="1"/>
        <s v="1017866" u="1"/>
        <s v="1017867" u="1"/>
        <s v="PO-00013331" u="1"/>
        <s v="001G0100353501" u="1"/>
        <s v="1022180" u="1"/>
        <s v="1018985" u="1"/>
        <s v="1022181" u="1"/>
        <s v="8167035" u="1"/>
        <s v="1018986" u="1"/>
        <s v="1018987" u="1"/>
        <s v="7470056" u="1"/>
        <s v="9995752" u="1"/>
        <s v="1018988" u="1"/>
        <s v="001M0884965701" u="1"/>
        <s v="8166826" u="1"/>
      </sharedItems>
    </cacheField>
    <cacheField name="Delivery Doc." numFmtId="0">
      <sharedItems containsNonDate="0" containsString="0" containsBlank="1"/>
    </cacheField>
    <cacheField name="Invoice Doc." numFmtId="1">
      <sharedItems containsNonDate="0" containsString="0" containsBlank="1"/>
    </cacheField>
    <cacheField name="Item" numFmtId="0">
      <sharedItems containsNonDate="0" containsString="0" containsBlank="1"/>
    </cacheField>
    <cacheField name="GMID" numFmtId="0">
      <sharedItems containsNonDate="0" containsBlank="1" count="61">
        <m/>
        <s v="732930" u="1"/>
        <s v="325072" u="1"/>
        <s v="655678" u="1"/>
        <s v="650554" u="1"/>
        <s v="782092" u="1"/>
        <s v="659589" u="1"/>
        <s v="732308" u="1"/>
        <s v="601090" u="1"/>
        <s v="671068" u="1"/>
        <s v="120777" u="1"/>
        <s v="773156" u="1"/>
        <s v="893499" u="1"/>
        <s v="873239" u="1"/>
        <s v="901077" u="1"/>
        <s v="653097" u="1"/>
        <s v="715503" u="1"/>
        <s v="600722" u="1"/>
        <s v="698543" u="1"/>
        <s v="785678" u="1"/>
        <s v="757234" u="1"/>
        <s v="817718" u="1"/>
        <s v="782091" u="1"/>
        <s v="659588" u="1"/>
        <s v="715506" u="1"/>
        <s v="782086" u="1"/>
        <s v="666269" u="1"/>
        <s v="895584" u="1"/>
        <s v="773132" u="1"/>
        <s v="797131" u="1"/>
        <s v="782089" u="1"/>
        <s v="782074" u="1"/>
        <s v="232606" u="1"/>
        <s v="715715" u="1"/>
        <s v="320657" u="1"/>
        <s v="747351" u="1"/>
        <s v="715565" u="1"/>
        <s v="723871" u="1"/>
        <s v="817717" u="1"/>
        <s v="782090" u="1"/>
        <s v="782085" u="1"/>
        <s v="782065" u="1"/>
        <s v="778275" u="1"/>
        <s v="757241" u="1"/>
        <s v="341667" u="1"/>
        <s v="781955" u="1"/>
        <s v="782093" u="1"/>
        <s v="797130" u="1"/>
        <s v="873229" u="1"/>
        <s v="653087" u="1"/>
        <s v="259639" u="1"/>
        <s v="715561" u="1"/>
        <s v="882451" u="1"/>
        <s v="747350" u="1"/>
        <s v="846778" u="1"/>
        <s v="715717" u="1"/>
        <s v="732302" u="1"/>
        <s v="754872" u="1"/>
        <s v="817716" u="1"/>
        <s v="600723" u="1"/>
        <s v="120786" u="1"/>
      </sharedItems>
    </cacheField>
    <cacheField name="Description" numFmtId="0">
      <sharedItems containsNonDate="0" containsString="0" containsBlank="1"/>
    </cacheField>
    <cacheField name="Local Description" numFmtId="0">
      <sharedItems containsNonDate="0" containsBlank="1" count="61">
        <m/>
        <s v="GELICART 10G POWD SK30 XB" u="1"/>
        <s v="BUSCAPINA COMPOSI 10-500MG TABCO BL20 XB" u="1"/>
        <s v="NOVALGINA 500MG TAB BL25X4 M35 PA" u="1"/>
        <s v="NEOMELUBRINA 1G/2ML INJ AM100 M35 PA" u="1"/>
        <s v="BUSCAPINA 20MG/1ML INJ AM3 M48 EX" u="1"/>
        <s v="NOVALGINA 500mg CAJA X 50 TAB MX" u="1"/>
        <s v="NEOMELUBRINA 500MG TAB BL25X4 M24 PA" u="1"/>
        <s v="CALMIDOL COMPUESTO X 48 CAPSULAS" u="1"/>
        <s v="NOVALGINA 1g INY AMP 2mlX10 IMP BR" u="1"/>
        <s v="NEO-MELUBRINA 300MG SUP BL5 M35 PA" u="1"/>
        <s v="GELICART 10G POWD SK30 AK M24 XB" u="1"/>
        <s v="ALLEGRA 120 MG CAJA X 10 TAB BR" u="1"/>
        <s v="CALMIDOL COMPUESTO X 6 CAPSULAS" u="1"/>
        <s v="NOVALGINA 5G/100ML SOL BT1 M35 S EX" u="1"/>
        <s v="ALLEGRA 900MG/+ SUSP BT1 M23 XB" u="1"/>
        <s v="GELICART ACTION 20G POWD SC30 M24 XB" u="1"/>
        <s v="GERIATRIC PHAR 250MG CAPSG BT30 M24 H EX" u="1"/>
        <s v="ENTEROGERMINA OFERTA CAJA X 20 AMP BEB IT" u="1"/>
        <s v="BUSCAPINA 10MG X 20 GRG" u="1"/>
        <s v="DULCOLAX 112.5MG/+ DROP BT1 M24 CO" u="1"/>
        <s v="MUCOSOLVAN COMPOSITU 180MG/+ SYR BT1 EX" u="1"/>
        <s v="BUSCAPINA 10MG TABSC 2BL10 M24 XB" u="1"/>
        <s v="BUSCAPINA SOL INY 20MG/ML X 3 AMP" u="1"/>
        <s v="CALMIDOL MAX CAJA X 6 TAB RECUBIERTAS" u="1"/>
        <s v="NOVALGINA 2.5g INY AMP 5mlX5 IMP BR" u="1"/>
        <s v="ALLEGRA 180MG 1X10 CPR EXP" u="1"/>
        <s v="MUCOSOLVAN 360MG/+ SYR BT1 M36 GT" u="1"/>
        <s v="BUSCAMINT 181.6MG CAPSG BL12 M36 XL" u="1"/>
        <s v="NASACORT AQ 16.5 MG SOL NASAL X 1 FCO GB" u="1"/>
        <s v="ALLEGRA 120 MG CAJA X 2 (New Size)" u="1"/>
        <s v="NEOMELUBRINA 5G/100ML SOL BT1 M35 XE" u="1"/>
        <s v="GELICART ACTION 20G POWD SK30 M24 EX" u="1"/>
        <s v="ALLEGRA 120MG TAB BL10 M36 XB" u="1"/>
        <s v="ALLEGRA 180MG TAB BL10 M36 XB" u="1"/>
        <s v="ENTEROGERMINA 2BCFU/5ML SUSP BT10 M24 XB" u="1"/>
        <s v="BUSCAPINA COMPOSI 10-325MG TABCO BL10 CO" u="1"/>
        <s v="ALLEGRA D 60mg CAJA X 10 TAB MX" u="1"/>
        <s v="ALLEGRA F 60-25MG TABCR BL2X5 M23 XB" u="1"/>
        <s v="DULCOLAX 5MG TABSC BL2X10 M36 XB" u="1"/>
        <s v="BUSCAPINA FEM 20+400MG X 6 COMP REC" u="1"/>
        <s v="ENTEROGERMINA CAJA X 10 AMP BEB IT" u="1"/>
        <s v="PHARMATON KIDDI 2G/+ SYR BT1 M24 XL" u="1"/>
        <s v="PHARMATON KIDDI 4G/+ SYR BT1 M24 XL" u="1"/>
        <s v="BARALGINA M 500MG TAB BL5X10 M35 PA" u="1"/>
        <s v="PHARMATON VITAL 40MG+ TABCO BT30 M24 EX" u="1"/>
        <s v="MIGRINON CAJA X100 TAB REC" u="1"/>
        <s v="GERIATRIC PHAR 250MG GEL BT90 ADU H EX" u="1"/>
        <s v="ALLEGRA SUS 900mg X 150 mL BR OTC" u="1"/>
        <s v="PHARMATON VITAL 40MG+ TABCO BT90 M24 EX" u="1"/>
        <s v="BISOLVON MAX JBE 30MG/5ML X 120ML" u="1"/>
        <s v="BUSCAPINA COMP 10-325MG TABCO BL10X10 CO" u="1"/>
        <s v="ENTEROGERMINA 4BCFU/5ML SUSP 5 BOT IT" u="1"/>
        <s v="BUSCAPINA COMP NF GTS 2+100MG/ML X 30 ML" u="1"/>
        <s v="DULCOLAX 5MG TABSC BL10 M36 CO" u="1"/>
        <s v="DULCOLAX 5MG TABSC BL20 M36 CO" u="1"/>
        <s v="BUSCAPINA COMPO 10-325MG TABCO BL2X10 CO" u="1"/>
        <s v="BUSCAPINA FEM 20+400MG X 90 COMP REC" u="1"/>
        <s v="ENTEROGERMINA 4BCFU/5ML SUSP BT5 M24 EX" u="1"/>
        <s v="BISOLVON PED JBE 4MG/5ML X 120ML" u="1"/>
        <s v="BISOLVON TS JBE 10MG/5ML X 120ML" u="1"/>
      </sharedItems>
    </cacheField>
    <cacheField name="Family" numFmtId="0">
      <sharedItems containsNonDate="0" containsString="0" containsBlank="1"/>
    </cacheField>
    <cacheField name="EAN Code" numFmtId="1">
      <sharedItems containsNonDate="0" containsString="0" containsBlank="1" containsNumber="1" containsInteger="1" minValue="3582910009900" maxValue="7795312100090" count="34">
        <m/>
        <n v="7591044007191" u="1"/>
        <n v="7703202221336" u="1"/>
        <n v="7703202221312" u="1"/>
        <n v="7706263200098" u="1"/>
        <n v="7501165010444" u="1"/>
        <n v="3664798066531" u="1"/>
        <n v="7591044009447" u="1"/>
        <n v="7706263200364" u="1"/>
        <n v="7703202003475" u="1"/>
        <n v="7703202221091" u="1"/>
        <n v="7591044008952" u="1"/>
        <n v="7703202221244" u="1"/>
        <n v="7702771001561" u="1"/>
        <n v="7703202221169" u="1"/>
        <n v="7703202221275" u="1"/>
        <n v="7703202221381" u="1"/>
        <n v="7703202221220" u="1"/>
        <n v="7703381002146" u="1"/>
        <n v="7703202221428" u="1"/>
        <n v="7706263200371" u="1"/>
        <n v="3664798064728" u="1"/>
        <n v="7591044009010" u="1"/>
        <n v="3582910009900" u="1"/>
        <n v="7795312100090" u="1"/>
        <n v="7703202010329" u="1"/>
        <n v="7703202221282" u="1"/>
        <n v="3664798071214" u="1"/>
        <n v="7703202221329" u="1"/>
        <n v="7703202221800" u="1"/>
        <n v="7501165007956" u="1"/>
        <n v="7703202221152" u="1"/>
        <n v="7591044401036" u="1"/>
        <n v="7703202221305" u="1"/>
      </sharedItems>
    </cacheField>
    <cacheField name="Sales Doc. Creation" numFmtId="14">
      <sharedItems containsNonDate="0" containsDate="1" containsString="0" containsBlank="1" minDate="2024-07-05T00:00:00" maxDate="2024-11-19T00:00:00" count="35">
        <m/>
        <d v="2024-08-22T00:00:00" u="1"/>
        <d v="2024-11-18T00:00:00" u="1"/>
        <d v="2024-09-01T00:00:00" u="1"/>
        <d v="2024-08-15T00:00:00" u="1"/>
        <d v="2024-10-25T00:00:00" u="1"/>
        <d v="2024-08-08T00:00:00" u="1"/>
        <d v="2024-11-04T00:00:00" u="1"/>
        <d v="2024-08-01T00:00:00" u="1"/>
        <d v="2024-08-20T00:00:00" u="1"/>
        <d v="2024-10-11T00:00:00" u="1"/>
        <d v="2024-08-13T00:00:00" u="1"/>
        <d v="2024-08-06T00:00:00" u="1"/>
        <d v="2024-09-04T00:00:00" u="1"/>
        <d v="2024-09-23T00:00:00" u="1"/>
        <d v="2024-10-28T00:00:00" u="1"/>
        <d v="2024-10-21T00:00:00" u="1"/>
        <d v="2024-08-23T00:00:00" u="1"/>
        <d v="2024-09-02T00:00:00" u="1"/>
        <d v="2024-08-16T00:00:00" u="1"/>
        <d v="2024-10-07T00:00:00" u="1"/>
        <d v="2024-07-30T00:00:00" u="1"/>
        <d v="2024-11-12T00:00:00" u="1"/>
        <d v="2024-07-23T00:00:00" u="1"/>
        <d v="2024-11-05T00:00:00" u="1"/>
        <d v="2024-08-21T00:00:00" u="1"/>
        <d v="2024-08-14T00:00:00" u="1"/>
        <d v="2024-09-05T00:00:00" u="1"/>
        <d v="2024-08-12T00:00:00" u="1"/>
        <d v="2024-11-08T00:00:00" u="1"/>
        <d v="2024-08-05T00:00:00" u="1"/>
        <d v="2024-11-01T00:00:00" u="1"/>
        <d v="2024-08-24T00:00:00" u="1"/>
        <d v="2024-08-17T00:00:00" u="1"/>
        <d v="2024-07-05T00:00:00" u="1"/>
      </sharedItems>
    </cacheField>
    <cacheField name="Days Sales order--&gt; Delivery" numFmtId="1">
      <sharedItems containsNonDate="0" containsString="0" containsBlank="1"/>
    </cacheField>
    <cacheField name="Delivery Creation" numFmtId="14">
      <sharedItems containsNonDate="0" containsString="0" containsBlank="1"/>
    </cacheField>
    <cacheField name="Days Delivery --&gt; Good Issue" numFmtId="1">
      <sharedItems containsNonDate="0" containsString="0" containsBlank="1"/>
    </cacheField>
    <cacheField name="Goods Issue" numFmtId="14">
      <sharedItems containsNonDate="0" containsString="0" containsBlank="1"/>
    </cacheField>
    <cacheField name="PGI" numFmtId="14">
      <sharedItems containsNonDate="0" containsString="0" containsBlank="1"/>
    </cacheField>
    <cacheField name="Days Good issue --&gt; Invoice" numFmtId="1">
      <sharedItems containsNonDate="0" containsString="0" containsBlank="1"/>
    </cacheField>
    <cacheField name="Invoice" numFmtId="14">
      <sharedItems containsNonDate="0" containsString="0" containsBlank="1"/>
    </cacheField>
    <cacheField name="POD" numFmtId="14">
      <sharedItems containsNonDate="0" containsString="0" containsBlank="1"/>
    </cacheField>
    <cacheField name="Req. Delivery" numFmtId="166">
      <sharedItems containsNonDate="0" containsString="0" containsBlank="1"/>
    </cacheField>
    <cacheField name="Arrange date of arrival" numFmtId="167">
      <sharedItems containsNonDate="0" containsString="0" containsBlank="1"/>
    </cacheField>
    <cacheField name="Delivery Block" numFmtId="0">
      <sharedItems containsNonDate="0" containsString="0" containsBlank="1"/>
    </cacheField>
    <cacheField name="Rejection Code" numFmtId="0">
      <sharedItems containsNonDate="0" containsString="0" containsBlank="1"/>
    </cacheField>
    <cacheField name="Rejection Reason" numFmtId="0">
      <sharedItems containsNonDate="0" containsString="0" containsBlank="1"/>
    </cacheField>
    <cacheField name="Type" numFmtId="0">
      <sharedItems containsNonDate="0" containsString="0" containsBlank="1"/>
    </cacheField>
    <cacheField name="Ordered" numFmtId="3">
      <sharedItems containsNonDate="0" containsString="0" containsBlank="1"/>
    </cacheField>
    <cacheField name="Invoiced" numFmtId="3">
      <sharedItems containsNonDate="0" containsString="0" containsBlank="1" containsNumber="1" containsInteger="1" minValue="0" maxValue="18535" count="71">
        <m/>
        <n v="0" u="1"/>
        <n v="1060" u="1"/>
        <n v="350" u="1"/>
        <n v="18535" u="1"/>
        <n v="13176" u="1"/>
        <n v="2592" u="1"/>
        <n v="1040" u="1"/>
        <n v="140" u="1"/>
        <n v="9420" u="1"/>
        <n v="1024" u="1"/>
        <n v="192" u="1"/>
        <n v="120" u="1"/>
        <n v="80" u="1"/>
        <n v="66" u="1"/>
        <n v="910" u="1"/>
        <n v="12480" u="1"/>
        <n v="444" u="1"/>
        <n v="12888" u="1"/>
        <n v="2520" u="1"/>
        <n v="800" u="1"/>
        <n v="216" u="1"/>
        <n v="3360" u="1"/>
        <n v="2496" u="1"/>
        <n v="440" u="1"/>
        <n v="1200" u="1"/>
        <n v="896" u="1"/>
        <n v="240" u="1"/>
        <n v="1000" u="1"/>
        <n v="12" u="1"/>
        <n v="3312" u="1"/>
        <n v="5" u="1"/>
        <n v="2880" u="1"/>
        <n v="432" u="1"/>
        <n v="210" u="1"/>
        <n v="12032" u="1"/>
        <n v="7552" u="1"/>
        <n v="1584" u="1"/>
        <n v="2816" u="1"/>
        <n v="768" u="1"/>
        <n v="480" u="1"/>
        <n v="320" u="1"/>
        <n v="980" u="1"/>
        <n v="660" u="1"/>
        <n v="36" u="1"/>
        <n v="864" u="1"/>
        <n v="648" u="1"/>
        <n v="860" u="1"/>
        <n v="126" u="1"/>
        <n v="2100" u="1"/>
        <n v="150" u="1"/>
        <n v="2304" u="1"/>
        <n v="960" u="1"/>
        <n v="640" u="1"/>
        <n v="256" u="1"/>
        <n v="72" u="1"/>
        <n v="2280" u="1"/>
        <n v="174" u="1"/>
        <n v="1728" u="1"/>
        <n v="200" u="1"/>
        <n v="1512" u="1"/>
        <n v="84" u="1"/>
        <n v="54" u="1"/>
        <n v="840" u="1"/>
        <n v="1720" u="1"/>
        <n v="1080" u="1"/>
        <n v="70" u="1"/>
        <n v="1500" u="1"/>
        <n v="832" u="1"/>
        <n v="60" u="1"/>
        <n v="936" u="1"/>
      </sharedItems>
    </cacheField>
    <cacheField name="Invoiced - BO Retaken" numFmtId="0">
      <sharedItems containsNonDate="0" containsString="0" containsBlank="1"/>
    </cacheField>
    <cacheField name="Invoiced in advance" numFmtId="3">
      <sharedItems containsNonDate="0" containsString="0" containsBlank="1"/>
    </cacheField>
    <cacheField name="Delivered" numFmtId="3">
      <sharedItems containsNonDate="0" containsString="0" containsBlank="1"/>
    </cacheField>
    <cacheField name="To be processed" numFmtId="3">
      <sharedItems containsNonDate="0" containsString="0" containsBlank="1"/>
    </cacheField>
    <cacheField name="To be delivered" numFmtId="3">
      <sharedItems containsNonDate="0" containsString="0" containsBlank="1"/>
    </cacheField>
    <cacheField name="Picking" numFmtId="3">
      <sharedItems containsNonDate="0" containsString="0" containsBlank="1"/>
    </cacheField>
    <cacheField name="Backorder" numFmtId="3">
      <sharedItems containsNonDate="0" containsString="0" containsBlank="1"/>
    </cacheField>
    <cacheField name="Rupture" numFmtId="3">
      <sharedItems containsNonDate="0" containsString="0" containsBlank="1"/>
    </cacheField>
    <cacheField name="Reorder" numFmtId="3">
      <sharedItems containsNonDate="0" containsString="0" containsBlank="1"/>
    </cacheField>
    <cacheField name="Stock Allocation" numFmtId="3">
      <sharedItems containsNonDate="0" containsString="0" containsBlank="1"/>
    </cacheField>
    <cacheField name="Oversales" numFmtId="3">
      <sharedItems containsNonDate="0" containsString="0" containsBlank="1"/>
    </cacheField>
    <cacheField name="Discontinued" numFmtId="3">
      <sharedItems containsNonDate="0" containsString="0" containsBlank="1"/>
    </cacheField>
    <cacheField name="Others RR" numFmtId="3">
      <sharedItems containsNonDate="0" containsString="0" containsBlank="1"/>
    </cacheField>
    <cacheField name="Credit Limit" numFmtId="3">
      <sharedItems containsNonDate="0" containsString="0" containsBlank="1"/>
    </cacheField>
    <cacheField name="Returns" numFmtId="3">
      <sharedItems containsNonDate="0" containsString="0" containsBlank="1"/>
    </cacheField>
    <cacheField name="Without RR" numFmtId="0">
      <sharedItems containsNonDate="0" containsString="0" containsBlank="1"/>
    </cacheField>
    <cacheField name="FR No RR Assigned" numFmtId="3">
      <sharedItems containsNonDate="0" containsString="0" containsBlank="1"/>
    </cacheField>
    <cacheField name="FR Ordered excluding" numFmtId="0">
      <sharedItems containsNonDate="0" containsString="0" containsBlank="1"/>
    </cacheField>
    <cacheField name="FR Ordered wo excluding" numFmtId="0">
      <sharedItems containsNonDate="0" containsString="0" containsBlank="1"/>
    </cacheField>
    <cacheField name="Invoice Sales" numFmtId="3">
      <sharedItems containsNonDate="0" containsString="0" containsBlank="1"/>
    </cacheField>
    <cacheField name="Masterpack" numFmtId="1">
      <sharedItems containsNonDate="0" containsString="0" containsBlank="1"/>
    </cacheField>
    <cacheField name="Column10" numFmtId="1">
      <sharedItems containsNonDate="0" containsString="0" containsBlank="1"/>
    </cacheField>
    <cacheField name="Column9" numFmtId="1">
      <sharedItems containsNonDate="0" containsString="0" containsBlank="1"/>
    </cacheField>
    <cacheField name="Column8" numFmtId="1">
      <sharedItems containsNonDate="0" containsString="0" containsBlank="1"/>
    </cacheField>
    <cacheField name="Column7" numFmtId="1">
      <sharedItems containsNonDate="0" containsString="0" containsBlank="1"/>
    </cacheField>
    <cacheField name="Column6" numFmtId="1">
      <sharedItems containsNonDate="0" containsString="0" containsBlank="1"/>
    </cacheField>
    <cacheField name="Column5" numFmtId="1">
      <sharedItems containsNonDate="0" containsString="0" containsBlank="1"/>
    </cacheField>
    <cacheField name="Column4" numFmtId="1">
      <sharedItems containsNonDate="0" containsString="0" containsBlank="1"/>
    </cacheField>
    <cacheField name="Column3" numFmtId="1">
      <sharedItems containsNonDate="0" containsString="0" containsBlank="1"/>
    </cacheField>
    <cacheField name="Column2" numFmtId="1">
      <sharedItems containsNonDate="0" containsString="0" containsBlank="1"/>
    </cacheField>
    <cacheField name="Column1" numFmtId="1">
      <sharedItems containsNonDate="0" containsString="0" containsBlank="1"/>
    </cacheField>
    <cacheField name="Status" numFmtId="0">
      <sharedItems containsNonDate="0" containsBlank="1" count="8">
        <m/>
        <s v="Descontinuado" u="1"/>
        <s v="Backorder" u="1"/>
        <s v="In Full" u="1"/>
        <s v="Fuera de Masterpack" u="1"/>
        <s v="Falta licencia de exportación Opella" u="1"/>
        <s v="No cumple FV acordada" u="1"/>
        <s v="Diferencia de Precio" u="1"/>
      </sharedItems>
    </cacheField>
    <cacheField name="KeyPLU" numFmtId="3">
      <sharedItems containsNonDate="0" containsString="0" containsBlank="1"/>
    </cacheField>
    <cacheField name="PLU" numFmtId="0">
      <sharedItems containsNonDate="0" containsString="0" containsBlank="1" containsNumber="1" containsInteger="1" minValue="11729" maxValue="298200477" count="84">
        <m/>
        <n v="1267481" u="1"/>
        <n v="298200477" u="1"/>
        <n v="101029133" u="1"/>
        <n v="1261915" u="1"/>
        <n v="101001237" u="1"/>
        <n v="101050624" u="1"/>
        <n v="68585" u="1"/>
        <n v="101034420" u="1"/>
        <n v="101032440" u="1"/>
        <n v="1268666" u="1"/>
        <n v="1270904" u="1"/>
        <n v="1270905" u="1"/>
        <n v="22878" u="1"/>
        <n v="101021452" u="1"/>
        <n v="11731" u="1"/>
        <n v="47409" u="1"/>
        <n v="101002374" u="1"/>
        <n v="101055908" u="1"/>
        <n v="1087419" u="1"/>
        <n v="101003692" u="1"/>
        <n v="15129" u="1"/>
        <n v="1289603" u="1"/>
        <n v="156006" u="1"/>
        <n v="334003" u="1"/>
        <n v="50348" u="1"/>
        <n v="23893" u="1"/>
        <n v="101003509" u="1"/>
        <n v="55442" u="1"/>
        <n v="928520" u="1"/>
        <n v="47598" u="1"/>
        <n v="100904" u="1"/>
        <n v="26120" u="1"/>
        <n v="101060964" u="1"/>
        <n v="1166205" u="1"/>
        <n v="1166206" u="1"/>
        <n v="1269901" u="1"/>
        <n v="391926" u="1"/>
        <n v="110323" u="1"/>
        <n v="101048039" u="1"/>
        <n v="100905" u="1"/>
        <n v="11729" u="1"/>
        <n v="13221" u="1"/>
        <n v="84797" u="1"/>
        <n v="11732" u="1"/>
        <n v="15124" u="1"/>
        <n v="295750490" u="1"/>
        <n v="21977" u="1"/>
        <n v="101001238" u="1"/>
        <n v="118952" u="1"/>
        <n v="1260643" u="1"/>
        <n v="120771" u="1"/>
        <n v="58826" u="1"/>
        <n v="1271095" u="1"/>
        <n v="101045579" u="1"/>
        <n v="1165164" u="1"/>
        <n v="1271096" u="1"/>
        <n v="372646" u="1"/>
        <n v="120610" u="1"/>
        <n v="1266274" u="1"/>
        <n v="101002375" u="1"/>
        <n v="1258820" u="1"/>
        <n v="1297614" u="1"/>
        <n v="101021284" u="1"/>
        <n v="356801" u="1"/>
        <n v="25854" u="1"/>
        <n v="101024888" u="1"/>
        <n v="214600191" u="1"/>
        <n v="101054403" u="1"/>
        <n v="25860" u="1"/>
        <n v="1276014" u="1"/>
        <n v="101000079" u="1"/>
        <n v="25528" u="1"/>
        <n v="1261846" u="1"/>
        <n v="11733" u="1"/>
        <n v="1167480" u="1"/>
        <n v="1262222" u="1"/>
        <n v="934211" u="1"/>
        <n v="1271562" u="1"/>
        <n v="1284625" u="1"/>
        <n v="101000230" u="1"/>
        <n v="101000766" u="1"/>
        <n v="101048038" u="1"/>
        <n v="101060965" u="1"/>
      </sharedItems>
    </cacheField>
    <cacheField name="Fullbox" numFmtId="0">
      <sharedItems containsNonDate="0" containsString="0" containsBlank="1"/>
    </cacheField>
    <cacheField name="Sin Despacho" numFmtId="1">
      <sharedItems containsNonDate="0" containsString="0" containsBlank="1"/>
    </cacheField>
  </cacheFields>
  <extLst>
    <ext xmlns:x14="http://schemas.microsoft.com/office/spreadsheetml/2009/9/main" uri="{725AE2AE-9491-48be-B2B4-4EB974FC3084}">
      <x14:pivotCacheDefinition pivotCacheId="80174994"/>
    </ext>
  </extLst>
</pivotCacheDefinition>
</file>

<file path=xl/pivotCache/pivotCacheRecords1.xml><?xml version="1.0" encoding="utf-8"?>
<pivotCacheRecords xmlns="http://schemas.openxmlformats.org/spreadsheetml/2006/main" xmlns:r="http://schemas.openxmlformats.org/officeDocument/2006/relationships" count="1">
  <r>
    <m/>
    <m/>
    <x v="0"/>
    <m/>
    <m/>
    <m/>
    <x v="0"/>
    <m/>
    <m/>
    <x v="0"/>
    <x v="0"/>
    <m/>
    <m/>
    <m/>
    <x v="0"/>
    <m/>
    <x v="0"/>
    <m/>
    <x v="0"/>
    <x v="0"/>
    <m/>
    <m/>
    <m/>
    <m/>
    <m/>
    <m/>
    <m/>
    <m/>
    <m/>
    <m/>
    <m/>
    <m/>
    <m/>
    <m/>
    <m/>
    <x v="0"/>
    <m/>
    <m/>
    <m/>
    <m/>
    <m/>
    <m/>
    <m/>
    <m/>
    <m/>
    <m/>
    <m/>
    <m/>
    <m/>
    <m/>
    <m/>
    <m/>
    <m/>
    <m/>
    <m/>
    <m/>
    <m/>
    <m/>
    <m/>
    <m/>
    <m/>
    <m/>
    <m/>
    <m/>
    <m/>
    <m/>
    <m/>
    <x v="0"/>
    <m/>
    <x v="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FillRate" cacheId="0" applyNumberFormats="0" applyBorderFormats="0" applyFontFormats="0" applyPatternFormats="0" applyAlignmentFormats="0" applyWidthHeightFormats="1" dataCaption="Valores" updatedVersion="6" minRefreshableVersion="3" itemPrintTitles="1" createdVersion="7" indent="0" compact="0" compactData="0" gridDropZones="1" multipleFieldFilters="0">
  <location ref="E15:H17" firstHeaderRow="1" firstDataRow="2" firstDataCol="1"/>
  <pivotFields count="72">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7">
        <item m="1" x="3"/>
        <item m="1" x="4"/>
        <item m="1" x="1"/>
        <item m="1" x="2"/>
        <item m="1" x="6"/>
        <item m="1" x="5"/>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83">
        <item m="1" x="11"/>
        <item m="1" x="35"/>
        <item m="1" x="49"/>
        <item m="1" x="71"/>
        <item m="1" x="64"/>
        <item m="1" x="81"/>
        <item m="1" x="20"/>
        <item m="1" x="2"/>
        <item m="1" x="15"/>
        <item m="1" x="25"/>
        <item m="1" x="26"/>
        <item m="1" x="27"/>
        <item m="1" x="28"/>
        <item m="1" x="66"/>
        <item m="1" x="67"/>
        <item m="1" x="68"/>
        <item m="1" x="69"/>
        <item m="1" x="34"/>
        <item m="1" x="36"/>
        <item m="1" x="38"/>
        <item m="1" x="39"/>
        <item m="1" x="7"/>
        <item m="1" x="10"/>
        <item m="1" x="52"/>
        <item m="1" x="54"/>
        <item m="1" x="73"/>
        <item m="1" x="76"/>
        <item m="1" x="77"/>
        <item m="1" x="80"/>
        <item m="1" x="12"/>
        <item m="1" x="55"/>
        <item m="1" x="56"/>
        <item m="1" x="57"/>
        <item m="1" x="44"/>
        <item m="1" x="46"/>
        <item m="1" x="16"/>
        <item m="1" x="17"/>
        <item m="1" x="45"/>
        <item m="1" x="48"/>
        <item m="1" x="50"/>
        <item m="1" x="51"/>
        <item m="1" x="13"/>
        <item m="1" x="14"/>
        <item m="1" x="59"/>
        <item m="1" x="61"/>
        <item m="1" x="1"/>
        <item m="1" x="3"/>
        <item m="1" x="4"/>
        <item m="1" x="47"/>
        <item m="1" x="22"/>
        <item m="1" x="23"/>
        <item m="1" x="72"/>
        <item m="1" x="74"/>
        <item m="1" x="21"/>
        <item m="1" x="78"/>
        <item m="1" x="37"/>
        <item m="1" x="58"/>
        <item m="1" x="60"/>
        <item m="1" x="8"/>
        <item m="1" x="9"/>
        <item m="1" x="30"/>
        <item m="1" x="82"/>
        <item m="1" x="75"/>
        <item m="1" x="41"/>
        <item m="1" x="62"/>
        <item m="1" x="31"/>
        <item m="1" x="19"/>
        <item m="1" x="79"/>
        <item m="1" x="18"/>
        <item m="1" x="29"/>
        <item m="1" x="32"/>
        <item m="1" x="33"/>
        <item m="1" x="5"/>
        <item m="1" x="63"/>
        <item m="1" x="65"/>
        <item m="1" x="24"/>
        <item m="1" x="42"/>
        <item m="1" x="43"/>
        <item m="1" x="6"/>
        <item m="1" x="53"/>
        <item m="1" x="40"/>
        <item m="1" x="70"/>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items count="35">
        <item m="1" x="34"/>
        <item m="1" x="23"/>
        <item m="1" x="21"/>
        <item m="1" x="8"/>
        <item m="1" x="30"/>
        <item m="1" x="12"/>
        <item m="1" x="6"/>
        <item m="1" x="28"/>
        <item m="1" x="11"/>
        <item m="1" x="26"/>
        <item m="1" x="4"/>
        <item m="1" x="19"/>
        <item m="1" x="33"/>
        <item m="1" x="9"/>
        <item m="1" x="25"/>
        <item m="1" x="1"/>
        <item m="1" x="17"/>
        <item m="1" x="32"/>
        <item m="1" x="3"/>
        <item m="1" x="18"/>
        <item m="1" x="13"/>
        <item m="1" x="27"/>
        <item m="1" x="14"/>
        <item m="1" x="20"/>
        <item m="1" x="10"/>
        <item m="1" x="16"/>
        <item m="1" x="5"/>
        <item m="1" x="15"/>
        <item m="1" x="31"/>
        <item m="1" x="7"/>
        <item m="1" x="24"/>
        <item m="1" x="29"/>
        <item m="1" x="22"/>
        <item m="1" x="2"/>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8">
        <item m="1" x="2"/>
        <item m="1" x="1"/>
        <item m="1" x="3"/>
        <item m="1" x="7"/>
        <item m="1" x="4"/>
        <item m="1" x="6"/>
        <item m="1" x="5"/>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numFmtId="1" outline="0" subtotalTop="0" showAll="0" defaultSubtotal="0">
      <extLst>
        <ext xmlns:x14="http://schemas.microsoft.com/office/spreadsheetml/2009/9/main" uri="{2946ED86-A175-432a-8AC1-64E0C546D7DE}">
          <x14:pivotField fillDownLabels="1"/>
        </ext>
      </extLst>
    </pivotField>
  </pivotFields>
  <rowItems count="1">
    <i/>
  </rowItems>
  <colFields count="1">
    <field x="-2"/>
  </colFields>
  <colItems count="3">
    <i>
      <x/>
    </i>
    <i i="1">
      <x v="1"/>
    </i>
    <i i="2">
      <x v="2"/>
    </i>
  </colItems>
  <dataFields count="3">
    <dataField name="Ordenado" fld="34" baseField="0" baseItem="0"/>
    <dataField name="Facturado" fld="35" baseField="0" baseItem="0"/>
    <dataField name="No Despachado" fld="71" baseField="0" baseItem="0"/>
  </dataFields>
  <formats count="21">
    <format dxfId="2065">
      <pivotArea outline="0" collapsedLevelsAreSubtotals="1" fieldPosition="0"/>
    </format>
    <format dxfId="2064">
      <pivotArea type="all" dataOnly="0" outline="0" fieldPosition="0"/>
    </format>
    <format dxfId="2063">
      <pivotArea outline="0" collapsedLevelsAreSubtotals="1" fieldPosition="0"/>
    </format>
    <format dxfId="2062">
      <pivotArea type="origin" dataOnly="0" labelOnly="1" outline="0" fieldPosition="0"/>
    </format>
    <format dxfId="2061">
      <pivotArea field="-2" type="button" dataOnly="0" labelOnly="1" outline="0" axis="axisCol" fieldPosition="0"/>
    </format>
    <format dxfId="2060">
      <pivotArea type="topRight" dataOnly="0" labelOnly="1" outline="0" fieldPosition="0"/>
    </format>
    <format dxfId="2059">
      <pivotArea field="67" type="button" dataOnly="0" labelOnly="1" outline="0"/>
    </format>
    <format dxfId="2058">
      <pivotArea dataOnly="0" labelOnly="1" grandRow="1" outline="0" fieldPosition="0"/>
    </format>
    <format dxfId="2057">
      <pivotArea field="67" type="button" dataOnly="0" labelOnly="1" outline="0"/>
    </format>
    <format dxfId="2056">
      <pivotArea field="-2" type="button" dataOnly="0" labelOnly="1" outline="0" axis="axisCol" fieldPosition="0"/>
    </format>
    <format dxfId="2055">
      <pivotArea type="all" dataOnly="0" outline="0" fieldPosition="0"/>
    </format>
    <format dxfId="2054">
      <pivotArea outline="0" collapsedLevelsAreSubtotals="1" fieldPosition="0"/>
    </format>
    <format dxfId="2053">
      <pivotArea type="origin" dataOnly="0" labelOnly="1" outline="0" fieldPosition="0"/>
    </format>
    <format dxfId="2052">
      <pivotArea field="-2" type="button" dataOnly="0" labelOnly="1" outline="0" axis="axisCol" fieldPosition="0"/>
    </format>
    <format dxfId="2051">
      <pivotArea type="topRight" dataOnly="0" labelOnly="1" outline="0" fieldPosition="0"/>
    </format>
    <format dxfId="2050">
      <pivotArea field="67" type="button" dataOnly="0" labelOnly="1" outline="0"/>
    </format>
    <format dxfId="2049">
      <pivotArea dataOnly="0" labelOnly="1" grandRow="1" outline="0" fieldPosition="0"/>
    </format>
    <format dxfId="2048">
      <pivotArea outline="0" collapsedLevelsAreSubtotals="1" fieldPosition="0"/>
    </format>
    <format dxfId="2047">
      <pivotArea field="-2" type="button" dataOnly="0" labelOnly="1" outline="0" axis="axisCol" fieldPosition="0"/>
    </format>
    <format dxfId="2046">
      <pivotArea type="topRight" dataOnly="0" labelOnly="1" outline="0" fieldPosition="0"/>
    </format>
    <format dxfId="2045">
      <pivotArea dataOnly="0" labelOnly="1" outline="0" fieldPosition="0">
        <references count="1">
          <reference field="4294967294" count="3">
            <x v="0"/>
            <x v="1"/>
            <x v="2"/>
          </reference>
        </references>
      </pivotArea>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SinNovedad" cacheId="0" applyNumberFormats="0" applyBorderFormats="0" applyFontFormats="0" applyPatternFormats="0" applyAlignmentFormats="0" applyWidthHeightFormats="1" dataCaption="Valores" updatedVersion="6" minRefreshableVersion="3" itemPrintTitles="1" createdVersion="7" indent="0" compact="0" compactData="0" gridDropZones="1" multipleFieldFilters="0">
  <location ref="B5:G7" firstHeaderRow="2" firstDataRow="2" firstDataCol="5" rowPageCount="1" colPageCount="1"/>
  <pivotFields count="72">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4">
        <item m="1" x="3"/>
        <item m="1" x="2"/>
        <item m="1" x="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7">
        <item m="1" x="3"/>
        <item m="1" x="4"/>
        <item m="1" x="1"/>
        <item m="1" x="2"/>
        <item m="1" x="6"/>
        <item m="1" x="5"/>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name="Pedido" axis="axisRow" compact="0" outline="0" subtotalTop="0" showAll="0" defaultSubtotal="0">
      <items count="85">
        <item m="1" x="41"/>
        <item m="1" x="5"/>
        <item m="1" x="57"/>
        <item m="1" x="20"/>
        <item m="1" x="30"/>
        <item m="1" x="31"/>
        <item m="1" x="17"/>
        <item m="1" x="54"/>
        <item m="1" x="80"/>
        <item m="1" x="65"/>
        <item m="1" x="3"/>
        <item m="1" x="56"/>
        <item m="1" x="9"/>
        <item m="1" x="77"/>
        <item m="1" x="73"/>
        <item m="1" x="76"/>
        <item m="1" x="10"/>
        <item m="1" x="67"/>
        <item m="1" x="6"/>
        <item m="1" x="49"/>
        <item m="1" x="44"/>
        <item m="1" x="35"/>
        <item m="1" x="4"/>
        <item m="1" x="68"/>
        <item m="1" x="22"/>
        <item m="1" x="52"/>
        <item m="1" x="21"/>
        <item m="1" x="47"/>
        <item m="1" x="8"/>
        <item m="1" x="43"/>
        <item m="1" x="84"/>
        <item m="1" x="82"/>
        <item m="1" x="53"/>
        <item m="1" x="38"/>
        <item m="1" x="46"/>
        <item m="1" x="59"/>
        <item m="1" x="2"/>
        <item m="1" x="58"/>
        <item m="1" x="83"/>
        <item m="1" x="45"/>
        <item m="1" x="62"/>
        <item m="1" x="34"/>
        <item m="1" x="29"/>
        <item m="1" x="15"/>
        <item m="1" x="19"/>
        <item m="1" x="33"/>
        <item m="1" x="40"/>
        <item m="1" x="37"/>
        <item m="1" x="39"/>
        <item m="1" x="69"/>
        <item m="1" x="32"/>
        <item m="1" x="26"/>
        <item m="1" x="11"/>
        <item m="1" x="7"/>
        <item m="1" x="16"/>
        <item m="1" x="64"/>
        <item m="1" x="74"/>
        <item m="1" x="63"/>
        <item m="1" x="28"/>
        <item m="1" x="75"/>
        <item m="1" x="27"/>
        <item m="1" x="13"/>
        <item m="1" x="48"/>
        <item m="1" x="66"/>
        <item m="1" x="14"/>
        <item m="1" x="70"/>
        <item m="1" x="25"/>
        <item m="1" x="79"/>
        <item m="1" x="72"/>
        <item m="1" x="24"/>
        <item m="1" x="60"/>
        <item m="1" x="12"/>
        <item m="1" x="71"/>
        <item m="1" x="18"/>
        <item m="1" x="55"/>
        <item m="1" x="51"/>
        <item m="1" x="1"/>
        <item m="1" x="81"/>
        <item m="1" x="78"/>
        <item m="1" x="36"/>
        <item m="1" x="50"/>
        <item m="1" x="61"/>
        <item m="1" x="23"/>
        <item m="1" x="42"/>
        <item x="0"/>
      </items>
      <extLst>
        <ext xmlns:x14="http://schemas.microsoft.com/office/spreadsheetml/2009/9/main" uri="{2946ED86-A175-432a-8AC1-64E0C546D7DE}">
          <x14:pivotField fillDownLabels="1"/>
        </ext>
      </extLst>
    </pivotField>
    <pivotField name="Orden de Compra" axis="axisRow" compact="0" outline="0" subtotalTop="0" showAll="0" defaultSubtotal="0">
      <items count="83">
        <item m="1" x="11"/>
        <item m="1" x="35"/>
        <item m="1" x="49"/>
        <item m="1" x="71"/>
        <item m="1" x="64"/>
        <item m="1" x="81"/>
        <item m="1" x="20"/>
        <item m="1" x="2"/>
        <item m="1" x="15"/>
        <item m="1" x="25"/>
        <item m="1" x="26"/>
        <item m="1" x="27"/>
        <item m="1" x="28"/>
        <item m="1" x="66"/>
        <item m="1" x="67"/>
        <item m="1" x="68"/>
        <item m="1" x="69"/>
        <item m="1" x="34"/>
        <item m="1" x="36"/>
        <item m="1" x="38"/>
        <item m="1" x="39"/>
        <item m="1" x="7"/>
        <item m="1" x="10"/>
        <item m="1" x="52"/>
        <item m="1" x="54"/>
        <item m="1" x="73"/>
        <item m="1" x="76"/>
        <item m="1" x="77"/>
        <item m="1" x="80"/>
        <item m="1" x="12"/>
        <item m="1" x="55"/>
        <item m="1" x="56"/>
        <item m="1" x="57"/>
        <item m="1" x="44"/>
        <item m="1" x="46"/>
        <item m="1" x="16"/>
        <item m="1" x="17"/>
        <item m="1" x="45"/>
        <item m="1" x="48"/>
        <item m="1" x="50"/>
        <item m="1" x="51"/>
        <item m="1" x="13"/>
        <item m="1" x="14"/>
        <item m="1" x="59"/>
        <item m="1" x="61"/>
        <item m="1" x="1"/>
        <item m="1" x="3"/>
        <item m="1" x="4"/>
        <item m="1" x="47"/>
        <item m="1" x="22"/>
        <item m="1" x="23"/>
        <item m="1" x="72"/>
        <item m="1" x="74"/>
        <item m="1" x="78"/>
        <item m="1" x="37"/>
        <item m="1" x="58"/>
        <item m="1" x="60"/>
        <item m="1" x="8"/>
        <item m="1" x="9"/>
        <item m="1" x="30"/>
        <item m="1" x="82"/>
        <item m="1" x="75"/>
        <item m="1" x="41"/>
        <item m="1" x="62"/>
        <item m="1" x="31"/>
        <item m="1" x="79"/>
        <item m="1" x="18"/>
        <item m="1" x="29"/>
        <item m="1" x="32"/>
        <item m="1" x="5"/>
        <item m="1" x="19"/>
        <item m="1" x="33"/>
        <item m="1" x="24"/>
        <item m="1" x="65"/>
        <item m="1" x="63"/>
        <item m="1" x="43"/>
        <item m="1" x="42"/>
        <item m="1" x="40"/>
        <item m="1" x="53"/>
        <item m="1" x="6"/>
        <item m="1" x="70"/>
        <item m="1" x="2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61">
        <item m="1" x="10"/>
        <item m="1" x="60"/>
        <item m="1" x="32"/>
        <item m="1" x="44"/>
        <item m="1" x="59"/>
        <item m="1" x="4"/>
        <item m="1" x="3"/>
        <item m="1" x="26"/>
        <item m="1" x="16"/>
        <item m="1" x="24"/>
        <item m="1" x="55"/>
        <item m="1" x="37"/>
        <item m="1" x="7"/>
        <item m="1" x="42"/>
        <item m="1" x="45"/>
        <item m="1" x="41"/>
        <item m="1" x="31"/>
        <item m="1" x="40"/>
        <item m="1" x="25"/>
        <item m="1" x="30"/>
        <item m="1" x="39"/>
        <item m="1" x="22"/>
        <item m="1" x="5"/>
        <item m="1" x="46"/>
        <item m="1" x="19"/>
        <item m="1" x="47"/>
        <item m="1" x="54"/>
        <item m="1" x="48"/>
        <item m="1" x="13"/>
        <item m="1" x="12"/>
        <item m="1" x="27"/>
        <item m="1" x="14"/>
        <item m="1" x="52"/>
        <item m="1" x="29"/>
        <item m="1" x="6"/>
        <item m="1" x="23"/>
        <item m="1" x="49"/>
        <item m="1" x="11"/>
        <item m="1" x="15"/>
        <item m="1" x="53"/>
        <item m="1" x="58"/>
        <item m="1" x="57"/>
        <item m="1" x="36"/>
        <item m="1" x="33"/>
        <item m="1" x="51"/>
        <item m="1" x="50"/>
        <item m="1" x="9"/>
        <item m="1" x="17"/>
        <item m="1" x="18"/>
        <item m="1" x="43"/>
        <item m="1" x="20"/>
        <item m="1" x="2"/>
        <item m="1" x="38"/>
        <item m="1" x="28"/>
        <item m="1" x="35"/>
        <item m="1" x="34"/>
        <item m="1" x="8"/>
        <item m="1" x="56"/>
        <item m="1" x="21"/>
        <item m="1" x="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61">
        <item m="1" x="12"/>
        <item m="1" x="26"/>
        <item m="1" x="37"/>
        <item m="1" x="48"/>
        <item m="1" x="50"/>
        <item m="1" x="59"/>
        <item m="1" x="60"/>
        <item m="1" x="28"/>
        <item m="1" x="19"/>
        <item m="1" x="51"/>
        <item m="1" x="53"/>
        <item m="1" x="56"/>
        <item m="1" x="36"/>
        <item m="1" x="40"/>
        <item m="1" x="57"/>
        <item m="1" x="23"/>
        <item m="1" x="8"/>
        <item m="1" x="13"/>
        <item m="1" x="24"/>
        <item m="1" x="20"/>
        <item m="1" x="54"/>
        <item m="1" x="55"/>
        <item m="1" x="52"/>
        <item m="1" x="41"/>
        <item m="1" x="18"/>
        <item m="1" x="1"/>
        <item m="1" x="16"/>
        <item m="1" x="46"/>
        <item m="1" x="29"/>
        <item m="1" x="9"/>
        <item m="1" x="25"/>
        <item m="1" x="6"/>
        <item m="1" x="30"/>
        <item m="1" x="5"/>
        <item m="1" x="49"/>
        <item m="1" x="45"/>
        <item m="1" x="42"/>
        <item m="1" x="21"/>
        <item m="1" x="43"/>
        <item m="1" x="17"/>
        <item m="1" x="4"/>
        <item m="1" x="35"/>
        <item m="1" x="2"/>
        <item m="1" x="22"/>
        <item m="1" x="39"/>
        <item m="1" x="10"/>
        <item m="1" x="11"/>
        <item m="1" x="44"/>
        <item m="1" x="32"/>
        <item m="1" x="33"/>
        <item m="1" x="34"/>
        <item m="1" x="15"/>
        <item m="1" x="31"/>
        <item m="1" x="7"/>
        <item m="1" x="27"/>
        <item m="1" x="47"/>
        <item m="1" x="38"/>
        <item m="1" x="58"/>
        <item m="1" x="3"/>
        <item m="1" x="14"/>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name="EAN" axis="axisRow" compact="0" outline="0" subtotalTop="0" showAll="0" defaultSubtotal="0">
      <items count="34">
        <item m="1" x="5"/>
        <item m="1" x="1"/>
        <item m="1" x="7"/>
        <item m="1" x="32"/>
        <item m="1" x="30"/>
        <item m="1" x="13"/>
        <item m="1" x="23"/>
        <item m="1" x="18"/>
        <item m="1" x="31"/>
        <item m="1" x="14"/>
        <item m="1" x="4"/>
        <item m="1" x="26"/>
        <item m="1" x="15"/>
        <item m="1" x="33"/>
        <item m="1" x="10"/>
        <item m="1" x="12"/>
        <item m="1" x="16"/>
        <item m="1" x="19"/>
        <item m="1" x="17"/>
        <item m="1" x="24"/>
        <item m="1" x="25"/>
        <item m="1" x="22"/>
        <item m="1" x="11"/>
        <item m="1" x="8"/>
        <item m="1" x="2"/>
        <item m="1" x="28"/>
        <item m="1" x="20"/>
        <item m="1" x="3"/>
        <item m="1" x="9"/>
        <item m="1" x="29"/>
        <item m="1" x="21"/>
        <item m="1" x="27"/>
        <item m="1" x="6"/>
        <item x="0"/>
      </items>
      <extLst>
        <ext xmlns:x14="http://schemas.microsoft.com/office/spreadsheetml/2009/9/main" uri="{2946ED86-A175-432a-8AC1-64E0C546D7DE}">
          <x14:pivotField fillDownLabels="1"/>
        </ext>
      </extLst>
    </pivotField>
    <pivotField compact="0" numFmtId="14" outline="0" subtotalTop="0" showAll="0" defaultSubtotal="0">
      <items count="35">
        <item m="1" x="34"/>
        <item m="1" x="23"/>
        <item m="1" x="21"/>
        <item m="1" x="8"/>
        <item m="1" x="30"/>
        <item m="1" x="12"/>
        <item m="1" x="6"/>
        <item m="1" x="28"/>
        <item m="1" x="11"/>
        <item m="1" x="26"/>
        <item m="1" x="4"/>
        <item m="1" x="19"/>
        <item m="1" x="33"/>
        <item m="1" x="9"/>
        <item m="1" x="25"/>
        <item m="1" x="1"/>
        <item m="1" x="17"/>
        <item m="1" x="32"/>
        <item m="1" x="3"/>
        <item m="1" x="18"/>
        <item m="1" x="13"/>
        <item m="1" x="27"/>
        <item m="1" x="14"/>
        <item m="1" x="20"/>
        <item m="1" x="10"/>
        <item m="1" x="16"/>
        <item m="1" x="5"/>
        <item m="1" x="15"/>
        <item m="1" x="31"/>
        <item m="1" x="7"/>
        <item m="1" x="24"/>
        <item m="1" x="29"/>
        <item m="1" x="22"/>
        <item m="1" x="2"/>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Page" dataField="1" compact="0" outline="0" subtotalTop="0" multipleItemSelectionAllowed="1" showAll="0" defaultSubtotal="0">
      <items count="71">
        <item h="1" m="1" x="1"/>
        <item m="1" x="44"/>
        <item m="1" x="69"/>
        <item m="1" x="14"/>
        <item m="1" x="66"/>
        <item m="1" x="55"/>
        <item m="1" x="13"/>
        <item m="1" x="12"/>
        <item m="1" x="8"/>
        <item m="1" x="50"/>
        <item m="1" x="59"/>
        <item m="1" x="21"/>
        <item m="1" x="27"/>
        <item m="1" x="54"/>
        <item m="1" x="41"/>
        <item m="1" x="3"/>
        <item m="1" x="33"/>
        <item m="1" x="40"/>
        <item m="1" x="53"/>
        <item m="1" x="46"/>
        <item m="1" x="39"/>
        <item m="1" x="20"/>
        <item m="1" x="68"/>
        <item m="1" x="47"/>
        <item m="1" x="26"/>
        <item m="1" x="52"/>
        <item m="1" x="42"/>
        <item m="1" x="10"/>
        <item m="1" x="7"/>
        <item m="1" x="2"/>
        <item m="1" x="65"/>
        <item m="1" x="60"/>
        <item m="1" x="58"/>
        <item m="1" x="15"/>
        <item m="1" x="29"/>
        <item m="1" x="23"/>
        <item m="1" x="48"/>
        <item m="1" x="63"/>
        <item m="1" x="51"/>
        <item m="1" x="62"/>
        <item m="1" x="45"/>
        <item m="1" x="34"/>
        <item m="1" x="19"/>
        <item m="1" x="38"/>
        <item m="1" x="61"/>
        <item m="1" x="67"/>
        <item m="1" x="43"/>
        <item m="1" x="32"/>
        <item m="1" x="56"/>
        <item m="1" x="28"/>
        <item m="1" x="49"/>
        <item m="1" x="35"/>
        <item m="1" x="31"/>
        <item m="1" x="6"/>
        <item m="1" x="22"/>
        <item m="1" x="70"/>
        <item m="1" x="9"/>
        <item m="1" x="57"/>
        <item m="1" x="64"/>
        <item m="1" x="5"/>
        <item m="1" x="18"/>
        <item m="1" x="4"/>
        <item m="1" x="11"/>
        <item m="1" x="24"/>
        <item m="1" x="16"/>
        <item m="1" x="37"/>
        <item m="1" x="17"/>
        <item m="1" x="25"/>
        <item m="1" x="36"/>
        <item m="1" x="30"/>
        <item h="1"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multipleItemSelectionAllowed="1"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multipleItemSelectionAllowed="1" showAll="0" defaultSubtotal="0">
      <items count="8">
        <item m="1" x="2"/>
        <item m="1" x="1"/>
        <item m="1" x="3"/>
        <item h="1" m="1" x="7"/>
        <item h="1" m="1" x="4"/>
        <item h="1" m="1" x="6"/>
        <item h="1" m="1" x="5"/>
        <item h="1"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items count="84">
        <item m="1" x="49"/>
        <item m="1" x="45"/>
        <item m="1" x="21"/>
        <item m="1" x="72"/>
        <item m="1" x="43"/>
        <item m="1" x="26"/>
        <item m="1" x="38"/>
        <item m="1" x="16"/>
        <item m="1" x="52"/>
        <item m="1" x="42"/>
        <item m="1" x="58"/>
        <item m="1" x="30"/>
        <item m="1" x="44"/>
        <item m="1" x="47"/>
        <item m="1" x="41"/>
        <item m="1" x="31"/>
        <item m="1" x="40"/>
        <item m="1" x="32"/>
        <item m="1" x="7"/>
        <item m="1" x="69"/>
        <item m="1" x="65"/>
        <item m="1" x="13"/>
        <item m="1" x="25"/>
        <item m="1" x="15"/>
        <item m="1" x="74"/>
        <item m="1" x="51"/>
        <item m="1" x="33"/>
        <item m="1" x="60"/>
        <item m="1" x="54"/>
        <item m="1" x="27"/>
        <item m="1" x="9"/>
        <item m="1" x="83"/>
        <item m="1" x="8"/>
        <item m="1" x="39"/>
        <item m="1" x="3"/>
        <item m="1" x="18"/>
        <item m="1" x="17"/>
        <item m="1" x="81"/>
        <item m="1" x="20"/>
        <item m="1" x="6"/>
        <item m="1" x="5"/>
        <item m="1" x="66"/>
        <item m="1" x="14"/>
        <item m="1" x="71"/>
        <item m="1" x="80"/>
        <item m="1" x="68"/>
        <item m="1" x="63"/>
        <item m="1" x="82"/>
        <item m="1" x="48"/>
        <item m="1" x="46"/>
        <item m="1" x="2"/>
        <item m="1" x="23"/>
        <item m="1" x="22"/>
        <item m="1" x="35"/>
        <item m="1" x="78"/>
        <item m="1" x="37"/>
        <item m="1" x="55"/>
        <item m="1" x="11"/>
        <item m="1" x="70"/>
        <item m="1" x="73"/>
        <item m="1" x="1"/>
        <item m="1" x="12"/>
        <item m="1" x="4"/>
        <item m="1" x="50"/>
        <item m="1" x="79"/>
        <item m="1" x="34"/>
        <item m="1" x="62"/>
        <item m="1" x="76"/>
        <item m="1" x="28"/>
        <item m="1" x="59"/>
        <item m="1" x="10"/>
        <item m="1" x="36"/>
        <item m="1" x="53"/>
        <item m="1" x="24"/>
        <item m="1" x="64"/>
        <item m="1" x="57"/>
        <item m="1" x="77"/>
        <item m="1" x="19"/>
        <item m="1" x="75"/>
        <item m="1" x="61"/>
        <item m="1" x="29"/>
        <item m="1" x="56"/>
        <item m="1" x="67"/>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s>
  <rowFields count="5">
    <field x="9"/>
    <field x="10"/>
    <field x="18"/>
    <field x="14"/>
    <field x="16"/>
  </rowFields>
  <rowItems count="1">
    <i t="grand">
      <x/>
    </i>
  </rowItems>
  <colItems count="1">
    <i/>
  </colItems>
  <pageFields count="1">
    <pageField fld="35" hier="-1"/>
  </pageFields>
  <dataFields count="1">
    <dataField name="Sum of Invoiced" fld="35" baseField="0" baseItem="0"/>
  </dataFields>
  <formats count="632">
    <format dxfId="2044">
      <pivotArea outline="0" collapsedLevelsAreSubtotals="1" fieldPosition="0"/>
    </format>
    <format dxfId="2043">
      <pivotArea field="67" type="button" dataOnly="0" labelOnly="1" outline="0"/>
    </format>
    <format dxfId="2042">
      <pivotArea type="origin" dataOnly="0" labelOnly="1" outline="0" fieldPosition="0"/>
    </format>
    <format dxfId="2041">
      <pivotArea type="all" dataOnly="0" outline="0" fieldPosition="0"/>
    </format>
    <format dxfId="2040">
      <pivotArea type="origin" dataOnly="0" labelOnly="1" outline="0" fieldPosition="0"/>
    </format>
    <format dxfId="2039">
      <pivotArea field="9" type="button" dataOnly="0" labelOnly="1" outline="0" axis="axisRow" fieldPosition="0"/>
    </format>
    <format dxfId="2038">
      <pivotArea field="10" type="button" dataOnly="0" labelOnly="1" outline="0" axis="axisRow" fieldPosition="1"/>
    </format>
    <format dxfId="2037">
      <pivotArea field="18" type="button" dataOnly="0" labelOnly="1" outline="0" axis="axisRow" fieldPosition="2"/>
    </format>
    <format dxfId="2036">
      <pivotArea field="14" type="button" dataOnly="0" labelOnly="1" outline="0" axis="axisRow" fieldPosition="3"/>
    </format>
    <format dxfId="2035">
      <pivotArea field="69" type="button" dataOnly="0" labelOnly="1" outline="0"/>
    </format>
    <format dxfId="2034">
      <pivotArea field="16" type="button" dataOnly="0" labelOnly="1" outline="0" axis="axisRow" fieldPosition="4"/>
    </format>
    <format dxfId="2033">
      <pivotArea dataOnly="0" labelOnly="1" outline="0" fieldPosition="0">
        <references count="1">
          <reference field="9"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032">
      <pivotArea dataOnly="0" labelOnly="1" outline="0" fieldPosition="0">
        <references count="1">
          <reference field="9" count="13">
            <x v="50"/>
            <x v="51"/>
            <x v="52"/>
            <x v="53"/>
            <x v="54"/>
            <x v="55"/>
            <x v="56"/>
            <x v="57"/>
            <x v="58"/>
            <x v="59"/>
            <x v="60"/>
            <x v="61"/>
            <x v="62"/>
          </reference>
        </references>
      </pivotArea>
    </format>
    <format dxfId="2031">
      <pivotArea dataOnly="0" labelOnly="1" outline="0" fieldPosition="0">
        <references count="2">
          <reference field="9" count="1" selected="0">
            <x v="0"/>
          </reference>
          <reference field="10" count="1">
            <x v="58"/>
          </reference>
        </references>
      </pivotArea>
    </format>
    <format dxfId="2030">
      <pivotArea dataOnly="0" labelOnly="1" outline="0" fieldPosition="0">
        <references count="2">
          <reference field="9" count="1" selected="0">
            <x v="1"/>
          </reference>
          <reference field="10" count="1">
            <x v="57"/>
          </reference>
        </references>
      </pivotArea>
    </format>
    <format dxfId="2029">
      <pivotArea dataOnly="0" labelOnly="1" outline="0" fieldPosition="0">
        <references count="2">
          <reference field="9" count="1" selected="0">
            <x v="2"/>
          </reference>
          <reference field="10" count="1">
            <x v="56"/>
          </reference>
        </references>
      </pivotArea>
    </format>
    <format dxfId="2028">
      <pivotArea dataOnly="0" labelOnly="1" outline="0" fieldPosition="0">
        <references count="2">
          <reference field="9" count="1" selected="0">
            <x v="3"/>
          </reference>
          <reference field="10" count="1">
            <x v="55"/>
          </reference>
        </references>
      </pivotArea>
    </format>
    <format dxfId="2027">
      <pivotArea dataOnly="0" labelOnly="1" outline="0" fieldPosition="0">
        <references count="2">
          <reference field="9" count="1" selected="0">
            <x v="4"/>
          </reference>
          <reference field="10" count="1">
            <x v="54"/>
          </reference>
        </references>
      </pivotArea>
    </format>
    <format dxfId="2026">
      <pivotArea dataOnly="0" labelOnly="1" outline="0" fieldPosition="0">
        <references count="2">
          <reference field="9" count="1" selected="0">
            <x v="5"/>
          </reference>
          <reference field="10" count="1">
            <x v="59"/>
          </reference>
        </references>
      </pivotArea>
    </format>
    <format dxfId="2025">
      <pivotArea dataOnly="0" labelOnly="1" outline="0" fieldPosition="0">
        <references count="2">
          <reference field="9" count="1" selected="0">
            <x v="6"/>
          </reference>
          <reference field="10" count="1">
            <x v="53"/>
          </reference>
        </references>
      </pivotArea>
    </format>
    <format dxfId="2024">
      <pivotArea dataOnly="0" labelOnly="1" outline="0" fieldPosition="0">
        <references count="2">
          <reference field="9" count="1" selected="0">
            <x v="7"/>
          </reference>
          <reference field="10" count="1">
            <x v="60"/>
          </reference>
        </references>
      </pivotArea>
    </format>
    <format dxfId="2023">
      <pivotArea dataOnly="0" labelOnly="1" outline="0" fieldPosition="0">
        <references count="2">
          <reference field="9" count="1" selected="0">
            <x v="8"/>
          </reference>
          <reference field="10" count="1">
            <x v="61"/>
          </reference>
        </references>
      </pivotArea>
    </format>
    <format dxfId="2022">
      <pivotArea dataOnly="0" labelOnly="1" outline="0" fieldPosition="0">
        <references count="2">
          <reference field="9" count="1" selected="0">
            <x v="9"/>
          </reference>
          <reference field="10" count="1">
            <x v="62"/>
          </reference>
        </references>
      </pivotArea>
    </format>
    <format dxfId="2021">
      <pivotArea dataOnly="0" labelOnly="1" outline="0" fieldPosition="0">
        <references count="2">
          <reference field="9" count="1" selected="0">
            <x v="10"/>
          </reference>
          <reference field="10" count="1">
            <x v="10"/>
          </reference>
        </references>
      </pivotArea>
    </format>
    <format dxfId="2020">
      <pivotArea dataOnly="0" labelOnly="1" outline="0" fieldPosition="0">
        <references count="2">
          <reference field="9" count="1" selected="0">
            <x v="11"/>
          </reference>
          <reference field="10" count="1">
            <x v="14"/>
          </reference>
        </references>
      </pivotArea>
    </format>
    <format dxfId="2019">
      <pivotArea dataOnly="0" labelOnly="1" outline="0" fieldPosition="0">
        <references count="2">
          <reference field="9" count="1" selected="0">
            <x v="12"/>
          </reference>
          <reference field="10" count="1">
            <x v="18"/>
          </reference>
        </references>
      </pivotArea>
    </format>
    <format dxfId="2018">
      <pivotArea dataOnly="0" labelOnly="1" outline="0" fieldPosition="0">
        <references count="2">
          <reference field="9" count="1" selected="0">
            <x v="13"/>
          </reference>
          <reference field="10" count="1">
            <x v="22"/>
          </reference>
        </references>
      </pivotArea>
    </format>
    <format dxfId="2017">
      <pivotArea dataOnly="0" labelOnly="1" outline="0" fieldPosition="0">
        <references count="2">
          <reference field="9" count="1" selected="0">
            <x v="14"/>
          </reference>
          <reference field="10" count="1">
            <x v="26"/>
          </reference>
        </references>
      </pivotArea>
    </format>
    <format dxfId="2016">
      <pivotArea dataOnly="0" labelOnly="1" outline="0" fieldPosition="0">
        <references count="2">
          <reference field="9" count="1" selected="0">
            <x v="15"/>
          </reference>
          <reference field="10" count="1">
            <x v="30"/>
          </reference>
        </references>
      </pivotArea>
    </format>
    <format dxfId="2015">
      <pivotArea dataOnly="0" labelOnly="1" outline="0" fieldPosition="0">
        <references count="2">
          <reference field="9" count="1" selected="0">
            <x v="16"/>
          </reference>
          <reference field="10" count="1">
            <x v="34"/>
          </reference>
        </references>
      </pivotArea>
    </format>
    <format dxfId="2014">
      <pivotArea dataOnly="0" labelOnly="1" outline="0" fieldPosition="0">
        <references count="2">
          <reference field="9" count="1" selected="0">
            <x v="17"/>
          </reference>
          <reference field="10" count="1">
            <x v="38"/>
          </reference>
        </references>
      </pivotArea>
    </format>
    <format dxfId="2013">
      <pivotArea dataOnly="0" labelOnly="1" outline="0" fieldPosition="0">
        <references count="2">
          <reference field="9" count="1" selected="0">
            <x v="18"/>
          </reference>
          <reference field="10" count="1">
            <x v="42"/>
          </reference>
        </references>
      </pivotArea>
    </format>
    <format dxfId="2012">
      <pivotArea dataOnly="0" labelOnly="1" outline="0" fieldPosition="0">
        <references count="2">
          <reference field="9" count="1" selected="0">
            <x v="19"/>
          </reference>
          <reference field="10" count="1">
            <x v="46"/>
          </reference>
        </references>
      </pivotArea>
    </format>
    <format dxfId="2011">
      <pivotArea dataOnly="0" labelOnly="1" outline="0" fieldPosition="0">
        <references count="2">
          <reference field="9" count="1" selected="0">
            <x v="20"/>
          </reference>
          <reference field="10" count="1">
            <x v="50"/>
          </reference>
        </references>
      </pivotArea>
    </format>
    <format dxfId="2010">
      <pivotArea dataOnly="0" labelOnly="1" outline="0" fieldPosition="0">
        <references count="2">
          <reference field="9" count="1" selected="0">
            <x v="21"/>
          </reference>
          <reference field="10" count="1">
            <x v="11"/>
          </reference>
        </references>
      </pivotArea>
    </format>
    <format dxfId="2009">
      <pivotArea dataOnly="0" labelOnly="1" outline="0" fieldPosition="0">
        <references count="2">
          <reference field="9" count="1" selected="0">
            <x v="22"/>
          </reference>
          <reference field="10" count="1">
            <x v="15"/>
          </reference>
        </references>
      </pivotArea>
    </format>
    <format dxfId="2008">
      <pivotArea dataOnly="0" labelOnly="1" outline="0" fieldPosition="0">
        <references count="2">
          <reference field="9" count="1" selected="0">
            <x v="23"/>
          </reference>
          <reference field="10" count="1">
            <x v="19"/>
          </reference>
        </references>
      </pivotArea>
    </format>
    <format dxfId="2007">
      <pivotArea dataOnly="0" labelOnly="1" outline="0" fieldPosition="0">
        <references count="2">
          <reference field="9" count="1" selected="0">
            <x v="24"/>
          </reference>
          <reference field="10" count="1">
            <x v="23"/>
          </reference>
        </references>
      </pivotArea>
    </format>
    <format dxfId="2006">
      <pivotArea dataOnly="0" labelOnly="1" outline="0" fieldPosition="0">
        <references count="2">
          <reference field="9" count="1" selected="0">
            <x v="25"/>
          </reference>
          <reference field="10" count="1">
            <x v="27"/>
          </reference>
        </references>
      </pivotArea>
    </format>
    <format dxfId="2005">
      <pivotArea dataOnly="0" labelOnly="1" outline="0" fieldPosition="0">
        <references count="2">
          <reference field="9" count="1" selected="0">
            <x v="26"/>
          </reference>
          <reference field="10" count="1">
            <x v="31"/>
          </reference>
        </references>
      </pivotArea>
    </format>
    <format dxfId="2004">
      <pivotArea dataOnly="0" labelOnly="1" outline="0" fieldPosition="0">
        <references count="2">
          <reference field="9" count="1" selected="0">
            <x v="27"/>
          </reference>
          <reference field="10" count="1">
            <x v="35"/>
          </reference>
        </references>
      </pivotArea>
    </format>
    <format dxfId="2003">
      <pivotArea dataOnly="0" labelOnly="1" outline="0" fieldPosition="0">
        <references count="2">
          <reference field="9" count="1" selected="0">
            <x v="28"/>
          </reference>
          <reference field="10" count="1">
            <x v="39"/>
          </reference>
        </references>
      </pivotArea>
    </format>
    <format dxfId="2002">
      <pivotArea dataOnly="0" labelOnly="1" outline="0" fieldPosition="0">
        <references count="2">
          <reference field="9" count="1" selected="0">
            <x v="29"/>
          </reference>
          <reference field="10" count="1">
            <x v="43"/>
          </reference>
        </references>
      </pivotArea>
    </format>
    <format dxfId="2001">
      <pivotArea dataOnly="0" labelOnly="1" outline="0" fieldPosition="0">
        <references count="2">
          <reference field="9" count="1" selected="0">
            <x v="30"/>
          </reference>
          <reference field="10" count="1">
            <x v="47"/>
          </reference>
        </references>
      </pivotArea>
    </format>
    <format dxfId="2000">
      <pivotArea dataOnly="0" labelOnly="1" outline="0" fieldPosition="0">
        <references count="2">
          <reference field="9" count="1" selected="0">
            <x v="31"/>
          </reference>
          <reference field="10" count="1">
            <x v="51"/>
          </reference>
        </references>
      </pivotArea>
    </format>
    <format dxfId="1999">
      <pivotArea dataOnly="0" labelOnly="1" outline="0" fieldPosition="0">
        <references count="2">
          <reference field="9" count="1" selected="0">
            <x v="32"/>
          </reference>
          <reference field="10" count="1">
            <x v="12"/>
          </reference>
        </references>
      </pivotArea>
    </format>
    <format dxfId="1998">
      <pivotArea dataOnly="0" labelOnly="1" outline="0" fieldPosition="0">
        <references count="2">
          <reference field="9" count="1" selected="0">
            <x v="33"/>
          </reference>
          <reference field="10" count="1">
            <x v="16"/>
          </reference>
        </references>
      </pivotArea>
    </format>
    <format dxfId="1997">
      <pivotArea dataOnly="0" labelOnly="1" outline="0" fieldPosition="0">
        <references count="2">
          <reference field="9" count="1" selected="0">
            <x v="34"/>
          </reference>
          <reference field="10" count="1">
            <x v="20"/>
          </reference>
        </references>
      </pivotArea>
    </format>
    <format dxfId="1996">
      <pivotArea dataOnly="0" labelOnly="1" outline="0" fieldPosition="0">
        <references count="2">
          <reference field="9" count="1" selected="0">
            <x v="35"/>
          </reference>
          <reference field="10" count="1">
            <x v="24"/>
          </reference>
        </references>
      </pivotArea>
    </format>
    <format dxfId="1995">
      <pivotArea dataOnly="0" labelOnly="1" outline="0" fieldPosition="0">
        <references count="2">
          <reference field="9" count="1" selected="0">
            <x v="36"/>
          </reference>
          <reference field="10" count="1">
            <x v="28"/>
          </reference>
        </references>
      </pivotArea>
    </format>
    <format dxfId="1994">
      <pivotArea dataOnly="0" labelOnly="1" outline="0" fieldPosition="0">
        <references count="2">
          <reference field="9" count="1" selected="0">
            <x v="37"/>
          </reference>
          <reference field="10" count="1">
            <x v="32"/>
          </reference>
        </references>
      </pivotArea>
    </format>
    <format dxfId="1993">
      <pivotArea dataOnly="0" labelOnly="1" outline="0" fieldPosition="0">
        <references count="2">
          <reference field="9" count="1" selected="0">
            <x v="38"/>
          </reference>
          <reference field="10" count="1">
            <x v="36"/>
          </reference>
        </references>
      </pivotArea>
    </format>
    <format dxfId="1992">
      <pivotArea dataOnly="0" labelOnly="1" outline="0" fieldPosition="0">
        <references count="2">
          <reference field="9" count="1" selected="0">
            <x v="39"/>
          </reference>
          <reference field="10" count="1">
            <x v="40"/>
          </reference>
        </references>
      </pivotArea>
    </format>
    <format dxfId="1991">
      <pivotArea dataOnly="0" labelOnly="1" outline="0" fieldPosition="0">
        <references count="2">
          <reference field="9" count="1" selected="0">
            <x v="40"/>
          </reference>
          <reference field="10" count="1">
            <x v="44"/>
          </reference>
        </references>
      </pivotArea>
    </format>
    <format dxfId="1990">
      <pivotArea dataOnly="0" labelOnly="1" outline="0" fieldPosition="0">
        <references count="2">
          <reference field="9" count="1" selected="0">
            <x v="41"/>
          </reference>
          <reference field="10" count="1">
            <x v="48"/>
          </reference>
        </references>
      </pivotArea>
    </format>
    <format dxfId="1989">
      <pivotArea dataOnly="0" labelOnly="1" outline="0" fieldPosition="0">
        <references count="2">
          <reference field="9" count="1" selected="0">
            <x v="42"/>
          </reference>
          <reference field="10" count="1">
            <x v="52"/>
          </reference>
        </references>
      </pivotArea>
    </format>
    <format dxfId="1988">
      <pivotArea dataOnly="0" labelOnly="1" outline="0" fieldPosition="0">
        <references count="2">
          <reference field="9" count="1" selected="0">
            <x v="43"/>
          </reference>
          <reference field="10" count="1">
            <x v="9"/>
          </reference>
        </references>
      </pivotArea>
    </format>
    <format dxfId="1987">
      <pivotArea dataOnly="0" labelOnly="1" outline="0" fieldPosition="0">
        <references count="2">
          <reference field="9" count="1" selected="0">
            <x v="44"/>
          </reference>
          <reference field="10" count="1">
            <x v="13"/>
          </reference>
        </references>
      </pivotArea>
    </format>
    <format dxfId="1986">
      <pivotArea dataOnly="0" labelOnly="1" outline="0" fieldPosition="0">
        <references count="2">
          <reference field="9" count="1" selected="0">
            <x v="45"/>
          </reference>
          <reference field="10" count="1">
            <x v="17"/>
          </reference>
        </references>
      </pivotArea>
    </format>
    <format dxfId="1985">
      <pivotArea dataOnly="0" labelOnly="1" outline="0" fieldPosition="0">
        <references count="2">
          <reference field="9" count="1" selected="0">
            <x v="46"/>
          </reference>
          <reference field="10" count="1">
            <x v="21"/>
          </reference>
        </references>
      </pivotArea>
    </format>
    <format dxfId="1984">
      <pivotArea dataOnly="0" labelOnly="1" outline="0" fieldPosition="0">
        <references count="2">
          <reference field="9" count="1" selected="0">
            <x v="47"/>
          </reference>
          <reference field="10" count="1">
            <x v="25"/>
          </reference>
        </references>
      </pivotArea>
    </format>
    <format dxfId="1983">
      <pivotArea dataOnly="0" labelOnly="1" outline="0" fieldPosition="0">
        <references count="2">
          <reference field="9" count="1" selected="0">
            <x v="48"/>
          </reference>
          <reference field="10" count="1">
            <x v="29"/>
          </reference>
        </references>
      </pivotArea>
    </format>
    <format dxfId="1982">
      <pivotArea dataOnly="0" labelOnly="1" outline="0" fieldPosition="0">
        <references count="2">
          <reference field="9" count="1" selected="0">
            <x v="49"/>
          </reference>
          <reference field="10" count="1">
            <x v="33"/>
          </reference>
        </references>
      </pivotArea>
    </format>
    <format dxfId="1981">
      <pivotArea dataOnly="0" labelOnly="1" outline="0" fieldPosition="0">
        <references count="2">
          <reference field="9" count="1" selected="0">
            <x v="50"/>
          </reference>
          <reference field="10" count="1">
            <x v="37"/>
          </reference>
        </references>
      </pivotArea>
    </format>
    <format dxfId="1980">
      <pivotArea dataOnly="0" labelOnly="1" outline="0" fieldPosition="0">
        <references count="2">
          <reference field="9" count="1" selected="0">
            <x v="51"/>
          </reference>
          <reference field="10" count="1">
            <x v="41"/>
          </reference>
        </references>
      </pivotArea>
    </format>
    <format dxfId="1979">
      <pivotArea dataOnly="0" labelOnly="1" outline="0" fieldPosition="0">
        <references count="2">
          <reference field="9" count="1" selected="0">
            <x v="52"/>
          </reference>
          <reference field="10" count="1">
            <x v="45"/>
          </reference>
        </references>
      </pivotArea>
    </format>
    <format dxfId="1978">
      <pivotArea dataOnly="0" labelOnly="1" outline="0" fieldPosition="0">
        <references count="2">
          <reference field="9" count="1" selected="0">
            <x v="53"/>
          </reference>
          <reference field="10" count="1">
            <x v="49"/>
          </reference>
        </references>
      </pivotArea>
    </format>
    <format dxfId="1977">
      <pivotArea dataOnly="0" labelOnly="1" outline="0" fieldPosition="0">
        <references count="2">
          <reference field="9" count="1" selected="0">
            <x v="54"/>
          </reference>
          <reference field="10" count="1">
            <x v="4"/>
          </reference>
        </references>
      </pivotArea>
    </format>
    <format dxfId="1976">
      <pivotArea dataOnly="0" labelOnly="1" outline="0" fieldPosition="0">
        <references count="2">
          <reference field="9" count="1" selected="0">
            <x v="55"/>
          </reference>
          <reference field="10" count="1">
            <x v="5"/>
          </reference>
        </references>
      </pivotArea>
    </format>
    <format dxfId="1975">
      <pivotArea dataOnly="0" labelOnly="1" outline="0" fieldPosition="0">
        <references count="2">
          <reference field="9" count="1" selected="0">
            <x v="56"/>
          </reference>
          <reference field="10" count="1">
            <x v="6"/>
          </reference>
        </references>
      </pivotArea>
    </format>
    <format dxfId="1974">
      <pivotArea dataOnly="0" labelOnly="1" outline="0" fieldPosition="0">
        <references count="2">
          <reference field="9" count="1" selected="0">
            <x v="57"/>
          </reference>
          <reference field="10" count="1">
            <x v="7"/>
          </reference>
        </references>
      </pivotArea>
    </format>
    <format dxfId="1973">
      <pivotArea dataOnly="0" labelOnly="1" outline="0" fieldPosition="0">
        <references count="2">
          <reference field="9" count="1" selected="0">
            <x v="58"/>
          </reference>
          <reference field="10" count="1">
            <x v="0"/>
          </reference>
        </references>
      </pivotArea>
    </format>
    <format dxfId="1972">
      <pivotArea dataOnly="0" labelOnly="1" outline="0" fieldPosition="0">
        <references count="2">
          <reference field="9" count="1" selected="0">
            <x v="59"/>
          </reference>
          <reference field="10" count="1">
            <x v="1"/>
          </reference>
        </references>
      </pivotArea>
    </format>
    <format dxfId="1971">
      <pivotArea dataOnly="0" labelOnly="1" outline="0" fieldPosition="0">
        <references count="2">
          <reference field="9" count="1" selected="0">
            <x v="60"/>
          </reference>
          <reference field="10" count="1">
            <x v="2"/>
          </reference>
        </references>
      </pivotArea>
    </format>
    <format dxfId="1970">
      <pivotArea dataOnly="0" labelOnly="1" outline="0" fieldPosition="0">
        <references count="2">
          <reference field="9" count="1" selected="0">
            <x v="61"/>
          </reference>
          <reference field="10" count="1">
            <x v="3"/>
          </reference>
        </references>
      </pivotArea>
    </format>
    <format dxfId="1969">
      <pivotArea dataOnly="0" labelOnly="1" outline="0" fieldPosition="0">
        <references count="2">
          <reference field="9" count="1" selected="0">
            <x v="62"/>
          </reference>
          <reference field="10" count="1">
            <x v="8"/>
          </reference>
        </references>
      </pivotArea>
    </format>
    <format dxfId="1968">
      <pivotArea dataOnly="0" labelOnly="1" outline="0" fieldPosition="0">
        <references count="3">
          <reference field="9" count="1" selected="0">
            <x v="0"/>
          </reference>
          <reference field="10" count="1" selected="0">
            <x v="58"/>
          </reference>
          <reference field="18" count="1">
            <x v="28"/>
          </reference>
        </references>
      </pivotArea>
    </format>
    <format dxfId="1967">
      <pivotArea dataOnly="0" labelOnly="1" outline="0" fieldPosition="0">
        <references count="3">
          <reference field="9" count="1" selected="0">
            <x v="2"/>
          </reference>
          <reference field="10" count="1" selected="0">
            <x v="56"/>
          </reference>
          <reference field="18" count="5">
            <x v="5"/>
            <x v="12"/>
            <x v="16"/>
            <x v="22"/>
            <x v="30"/>
          </reference>
        </references>
      </pivotArea>
    </format>
    <format dxfId="1966">
      <pivotArea dataOnly="0" labelOnly="1" outline="0" fieldPosition="0">
        <references count="3">
          <reference field="9" count="1" selected="0">
            <x v="3"/>
          </reference>
          <reference field="10" count="1" selected="0">
            <x v="55"/>
          </reference>
          <reference field="18" count="12">
            <x v="0"/>
            <x v="3"/>
            <x v="5"/>
            <x v="6"/>
            <x v="8"/>
            <x v="9"/>
            <x v="12"/>
            <x v="13"/>
            <x v="18"/>
            <x v="22"/>
            <x v="25"/>
            <x v="30"/>
          </reference>
        </references>
      </pivotArea>
    </format>
    <format dxfId="1965">
      <pivotArea dataOnly="0" labelOnly="1" outline="0" fieldPosition="0">
        <references count="3">
          <reference field="9" count="1" selected="0">
            <x v="4"/>
          </reference>
          <reference field="10" count="1" selected="0">
            <x v="54"/>
          </reference>
          <reference field="18" count="12">
            <x v="3"/>
            <x v="6"/>
            <x v="7"/>
            <x v="8"/>
            <x v="9"/>
            <x v="12"/>
            <x v="14"/>
            <x v="16"/>
            <x v="18"/>
            <x v="22"/>
            <x v="24"/>
            <x v="25"/>
          </reference>
        </references>
      </pivotArea>
    </format>
    <format dxfId="1964">
      <pivotArea dataOnly="0" labelOnly="1" outline="0" fieldPosition="0">
        <references count="3">
          <reference field="9" count="1" selected="0">
            <x v="5"/>
          </reference>
          <reference field="10" count="1" selected="0">
            <x v="59"/>
          </reference>
          <reference field="18" count="16">
            <x v="0"/>
            <x v="3"/>
            <x v="5"/>
            <x v="6"/>
            <x v="7"/>
            <x v="8"/>
            <x v="9"/>
            <x v="12"/>
            <x v="15"/>
            <x v="16"/>
            <x v="18"/>
            <x v="22"/>
            <x v="24"/>
            <x v="25"/>
            <x v="29"/>
            <x v="30"/>
          </reference>
        </references>
      </pivotArea>
    </format>
    <format dxfId="1963">
      <pivotArea dataOnly="0" labelOnly="1" outline="0" fieldPosition="0">
        <references count="3">
          <reference field="9" count="1" selected="0">
            <x v="6"/>
          </reference>
          <reference field="10" count="1" selected="0">
            <x v="53"/>
          </reference>
          <reference field="18" count="1">
            <x v="20"/>
          </reference>
        </references>
      </pivotArea>
    </format>
    <format dxfId="1962">
      <pivotArea dataOnly="0" labelOnly="1" outline="0" fieldPosition="0">
        <references count="3">
          <reference field="9" count="1" selected="0">
            <x v="7"/>
          </reference>
          <reference field="10" count="1" selected="0">
            <x v="60"/>
          </reference>
          <reference field="18" count="1">
            <x v="31"/>
          </reference>
        </references>
      </pivotArea>
    </format>
    <format dxfId="1961">
      <pivotArea dataOnly="0" labelOnly="1" outline="0" fieldPosition="0">
        <references count="3">
          <reference field="9" count="1" selected="0">
            <x v="8"/>
          </reference>
          <reference field="10" count="1" selected="0">
            <x v="61"/>
          </reference>
          <reference field="18" count="10">
            <x v="5"/>
            <x v="8"/>
            <x v="9"/>
            <x v="12"/>
            <x v="22"/>
            <x v="24"/>
            <x v="25"/>
            <x v="29"/>
            <x v="30"/>
            <x v="31"/>
          </reference>
        </references>
      </pivotArea>
    </format>
    <format dxfId="1960">
      <pivotArea dataOnly="0" labelOnly="1" outline="0" fieldPosition="0">
        <references count="3">
          <reference field="9" count="1" selected="0">
            <x v="9"/>
          </reference>
          <reference field="10" count="1" selected="0">
            <x v="62"/>
          </reference>
          <reference field="18" count="17">
            <x v="0"/>
            <x v="3"/>
            <x v="4"/>
            <x v="5"/>
            <x v="6"/>
            <x v="8"/>
            <x v="9"/>
            <x v="12"/>
            <x v="14"/>
            <x v="18"/>
            <x v="19"/>
            <x v="22"/>
            <x v="24"/>
            <x v="25"/>
            <x v="29"/>
            <x v="30"/>
            <x v="31"/>
          </reference>
        </references>
      </pivotArea>
    </format>
    <format dxfId="1959">
      <pivotArea dataOnly="0" labelOnly="1" outline="0" fieldPosition="0">
        <references count="3">
          <reference field="9" count="1" selected="0">
            <x v="10"/>
          </reference>
          <reference field="10" count="1" selected="0">
            <x v="10"/>
          </reference>
          <reference field="18" count="11">
            <x v="1"/>
            <x v="3"/>
            <x v="7"/>
            <x v="11"/>
            <x v="12"/>
            <x v="14"/>
            <x v="15"/>
            <x v="21"/>
            <x v="22"/>
            <x v="28"/>
            <x v="29"/>
          </reference>
        </references>
      </pivotArea>
    </format>
    <format dxfId="1958">
      <pivotArea dataOnly="0" labelOnly="1" outline="0" fieldPosition="0">
        <references count="3">
          <reference field="9" count="1" selected="0">
            <x v="11"/>
          </reference>
          <reference field="10" count="1" selected="0">
            <x v="14"/>
          </reference>
          <reference field="18" count="1">
            <x v="3"/>
          </reference>
        </references>
      </pivotArea>
    </format>
    <format dxfId="1957">
      <pivotArea dataOnly="0" labelOnly="1" outline="0" fieldPosition="0">
        <references count="3">
          <reference field="9" count="1" selected="0">
            <x v="12"/>
          </reference>
          <reference field="10" count="1" selected="0">
            <x v="18"/>
          </reference>
          <reference field="18" count="18">
            <x v="0"/>
            <x v="1"/>
            <x v="3"/>
            <x v="7"/>
            <x v="8"/>
            <x v="9"/>
            <x v="11"/>
            <x v="12"/>
            <x v="13"/>
            <x v="14"/>
            <x v="15"/>
            <x v="16"/>
            <x v="18"/>
            <x v="22"/>
            <x v="27"/>
            <x v="28"/>
            <x v="29"/>
            <x v="30"/>
          </reference>
        </references>
      </pivotArea>
    </format>
    <format dxfId="1956">
      <pivotArea dataOnly="0" labelOnly="1" outline="0" fieldPosition="0">
        <references count="3">
          <reference field="9" count="1" selected="0">
            <x v="13"/>
          </reference>
          <reference field="10" count="1" selected="0">
            <x v="22"/>
          </reference>
          <reference field="18" count="1">
            <x v="6"/>
          </reference>
        </references>
      </pivotArea>
    </format>
    <format dxfId="1955">
      <pivotArea dataOnly="0" labelOnly="1" outline="0" fieldPosition="0">
        <references count="3">
          <reference field="9" count="1" selected="0">
            <x v="14"/>
          </reference>
          <reference field="10" count="1" selected="0">
            <x v="26"/>
          </reference>
          <reference field="18" count="2">
            <x v="16"/>
            <x v="30"/>
          </reference>
        </references>
      </pivotArea>
    </format>
    <format dxfId="1954">
      <pivotArea dataOnly="0" labelOnly="1" outline="0" fieldPosition="0">
        <references count="3">
          <reference field="9" count="1" selected="0">
            <x v="15"/>
          </reference>
          <reference field="10" count="1" selected="0">
            <x v="30"/>
          </reference>
          <reference field="18" count="11">
            <x v="1"/>
            <x v="3"/>
            <x v="5"/>
            <x v="7"/>
            <x v="12"/>
            <x v="14"/>
            <x v="15"/>
            <x v="16"/>
            <x v="22"/>
            <x v="28"/>
            <x v="29"/>
          </reference>
        </references>
      </pivotArea>
    </format>
    <format dxfId="1953">
      <pivotArea dataOnly="0" labelOnly="1" outline="0" fieldPosition="0">
        <references count="3">
          <reference field="9" count="1" selected="0">
            <x v="16"/>
          </reference>
          <reference field="10" count="1" selected="0">
            <x v="34"/>
          </reference>
          <reference field="18" count="1">
            <x v="22"/>
          </reference>
        </references>
      </pivotArea>
    </format>
    <format dxfId="1952">
      <pivotArea dataOnly="0" labelOnly="1" outline="0" fieldPosition="0">
        <references count="3">
          <reference field="9" count="1" selected="0">
            <x v="17"/>
          </reference>
          <reference field="10" count="1" selected="0">
            <x v="38"/>
          </reference>
          <reference field="18" count="3">
            <x v="11"/>
            <x v="13"/>
            <x v="29"/>
          </reference>
        </references>
      </pivotArea>
    </format>
    <format dxfId="1951">
      <pivotArea dataOnly="0" labelOnly="1" outline="0" fieldPosition="0">
        <references count="3">
          <reference field="9" count="1" selected="0">
            <x v="18"/>
          </reference>
          <reference field="10" count="1" selected="0">
            <x v="42"/>
          </reference>
          <reference field="18" count="10">
            <x v="1"/>
            <x v="3"/>
            <x v="5"/>
            <x v="7"/>
            <x v="8"/>
            <x v="9"/>
            <x v="12"/>
            <x v="14"/>
            <x v="15"/>
            <x v="28"/>
          </reference>
        </references>
      </pivotArea>
    </format>
    <format dxfId="1950">
      <pivotArea dataOnly="0" labelOnly="1" outline="0" fieldPosition="0">
        <references count="3">
          <reference field="9" count="1" selected="0">
            <x v="19"/>
          </reference>
          <reference field="10" count="1" selected="0">
            <x v="46"/>
          </reference>
          <reference field="18" count="2">
            <x v="6"/>
            <x v="22"/>
          </reference>
        </references>
      </pivotArea>
    </format>
    <format dxfId="1949">
      <pivotArea dataOnly="0" labelOnly="1" outline="0" fieldPosition="0">
        <references count="3">
          <reference field="9" count="1" selected="0">
            <x v="20"/>
          </reference>
          <reference field="10" count="1" selected="0">
            <x v="50"/>
          </reference>
          <reference field="18" count="1">
            <x v="6"/>
          </reference>
        </references>
      </pivotArea>
    </format>
    <format dxfId="1948">
      <pivotArea dataOnly="0" labelOnly="1" outline="0" fieldPosition="0">
        <references count="3">
          <reference field="9" count="1" selected="0">
            <x v="21"/>
          </reference>
          <reference field="10" count="1" selected="0">
            <x v="11"/>
          </reference>
          <reference field="18" count="10">
            <x v="0"/>
            <x v="1"/>
            <x v="3"/>
            <x v="7"/>
            <x v="9"/>
            <x v="12"/>
            <x v="14"/>
            <x v="15"/>
            <x v="28"/>
            <x v="29"/>
          </reference>
        </references>
      </pivotArea>
    </format>
    <format dxfId="1947">
      <pivotArea dataOnly="0" labelOnly="1" outline="0" fieldPosition="0">
        <references count="3">
          <reference field="9" count="1" selected="0">
            <x v="22"/>
          </reference>
          <reference field="10" count="1" selected="0">
            <x v="15"/>
          </reference>
          <reference field="18" count="1">
            <x v="3"/>
          </reference>
        </references>
      </pivotArea>
    </format>
    <format dxfId="1946">
      <pivotArea dataOnly="0" labelOnly="1" outline="0" fieldPosition="0">
        <references count="3">
          <reference field="9" count="1" selected="0">
            <x v="23"/>
          </reference>
          <reference field="10" count="1" selected="0">
            <x v="19"/>
          </reference>
          <reference field="18" count="17">
            <x v="0"/>
            <x v="7"/>
            <x v="8"/>
            <x v="9"/>
            <x v="11"/>
            <x v="12"/>
            <x v="13"/>
            <x v="14"/>
            <x v="15"/>
            <x v="16"/>
            <x v="18"/>
            <x v="22"/>
            <x v="25"/>
            <x v="27"/>
            <x v="28"/>
            <x v="29"/>
            <x v="30"/>
          </reference>
        </references>
      </pivotArea>
    </format>
    <format dxfId="1945">
      <pivotArea dataOnly="0" labelOnly="1" outline="0" fieldPosition="0">
        <references count="3">
          <reference field="9" count="1" selected="0">
            <x v="24"/>
          </reference>
          <reference field="10" count="1" selected="0">
            <x v="23"/>
          </reference>
          <reference field="18" count="1">
            <x v="6"/>
          </reference>
        </references>
      </pivotArea>
    </format>
    <format dxfId="1944">
      <pivotArea dataOnly="0" labelOnly="1" outline="0" fieldPosition="0">
        <references count="3">
          <reference field="9" count="1" selected="0">
            <x v="25"/>
          </reference>
          <reference field="10" count="1" selected="0">
            <x v="27"/>
          </reference>
          <reference field="18" count="5">
            <x v="3"/>
            <x v="5"/>
            <x v="16"/>
            <x v="28"/>
            <x v="30"/>
          </reference>
        </references>
      </pivotArea>
    </format>
    <format dxfId="1943">
      <pivotArea dataOnly="0" labelOnly="1" outline="0" fieldPosition="0">
        <references count="3">
          <reference field="9" count="1" selected="0">
            <x v="26"/>
          </reference>
          <reference field="10" count="1" selected="0">
            <x v="31"/>
          </reference>
          <reference field="18" count="14">
            <x v="0"/>
            <x v="3"/>
            <x v="5"/>
            <x v="7"/>
            <x v="9"/>
            <x v="12"/>
            <x v="14"/>
            <x v="15"/>
            <x v="16"/>
            <x v="18"/>
            <x v="22"/>
            <x v="25"/>
            <x v="28"/>
            <x v="29"/>
          </reference>
        </references>
      </pivotArea>
    </format>
    <format dxfId="1942">
      <pivotArea dataOnly="0" labelOnly="1" outline="0" fieldPosition="0">
        <references count="3">
          <reference field="9" count="1" selected="0">
            <x v="27"/>
          </reference>
          <reference field="10" count="1" selected="0">
            <x v="35"/>
          </reference>
          <reference field="18" count="1">
            <x v="22"/>
          </reference>
        </references>
      </pivotArea>
    </format>
    <format dxfId="1941">
      <pivotArea dataOnly="0" labelOnly="1" outline="0" fieldPosition="0">
        <references count="3">
          <reference field="9" count="1" selected="0">
            <x v="28"/>
          </reference>
          <reference field="10" count="1" selected="0">
            <x v="39"/>
          </reference>
          <reference field="18" count="5">
            <x v="11"/>
            <x v="12"/>
            <x v="13"/>
            <x v="15"/>
            <x v="27"/>
          </reference>
        </references>
      </pivotArea>
    </format>
    <format dxfId="1940">
      <pivotArea dataOnly="0" labelOnly="1" outline="0" fieldPosition="0">
        <references count="3">
          <reference field="9" count="1" selected="0">
            <x v="29"/>
          </reference>
          <reference field="10" count="1" selected="0">
            <x v="43"/>
          </reference>
          <reference field="18" count="8">
            <x v="1"/>
            <x v="3"/>
            <x v="5"/>
            <x v="7"/>
            <x v="15"/>
            <x v="25"/>
            <x v="28"/>
            <x v="29"/>
          </reference>
        </references>
      </pivotArea>
    </format>
    <format dxfId="1939">
      <pivotArea dataOnly="0" labelOnly="1" outline="0" fieldPosition="0">
        <references count="3">
          <reference field="9" count="1" selected="0">
            <x v="30"/>
          </reference>
          <reference field="10" count="1" selected="0">
            <x v="47"/>
          </reference>
          <reference field="18" count="2">
            <x v="6"/>
            <x v="22"/>
          </reference>
        </references>
      </pivotArea>
    </format>
    <format dxfId="1938">
      <pivotArea dataOnly="0" labelOnly="1" outline="0" fieldPosition="0">
        <references count="3">
          <reference field="9" count="1" selected="0">
            <x v="31"/>
          </reference>
          <reference field="10" count="1" selected="0">
            <x v="51"/>
          </reference>
          <reference field="18" count="1">
            <x v="6"/>
          </reference>
        </references>
      </pivotArea>
    </format>
    <format dxfId="1937">
      <pivotArea dataOnly="0" labelOnly="1" outline="0" fieldPosition="0">
        <references count="3">
          <reference field="9" count="1" selected="0">
            <x v="32"/>
          </reference>
          <reference field="10" count="1" selected="0">
            <x v="12"/>
          </reference>
          <reference field="18" count="10">
            <x v="0"/>
            <x v="1"/>
            <x v="3"/>
            <x v="12"/>
            <x v="14"/>
            <x v="21"/>
            <x v="22"/>
            <x v="25"/>
            <x v="28"/>
            <x v="29"/>
          </reference>
        </references>
      </pivotArea>
    </format>
    <format dxfId="1936">
      <pivotArea dataOnly="0" labelOnly="1" outline="0" fieldPosition="0">
        <references count="3">
          <reference field="9" count="1" selected="0">
            <x v="33"/>
          </reference>
          <reference field="10" count="1" selected="0">
            <x v="16"/>
          </reference>
          <reference field="18" count="1">
            <x v="3"/>
          </reference>
        </references>
      </pivotArea>
    </format>
    <format dxfId="1935">
      <pivotArea dataOnly="0" labelOnly="1" outline="0" fieldPosition="0">
        <references count="3">
          <reference field="9" count="1" selected="0">
            <x v="34"/>
          </reference>
          <reference field="10" count="1" selected="0">
            <x v="20"/>
          </reference>
          <reference field="18" count="17">
            <x v="0"/>
            <x v="1"/>
            <x v="7"/>
            <x v="8"/>
            <x v="9"/>
            <x v="11"/>
            <x v="12"/>
            <x v="13"/>
            <x v="15"/>
            <x v="16"/>
            <x v="18"/>
            <x v="22"/>
            <x v="25"/>
            <x v="27"/>
            <x v="28"/>
            <x v="29"/>
            <x v="30"/>
          </reference>
        </references>
      </pivotArea>
    </format>
    <format dxfId="1934">
      <pivotArea dataOnly="0" labelOnly="1" outline="0" fieldPosition="0">
        <references count="3">
          <reference field="9" count="1" selected="0">
            <x v="35"/>
          </reference>
          <reference field="10" count="1" selected="0">
            <x v="24"/>
          </reference>
          <reference field="18" count="1">
            <x v="6"/>
          </reference>
        </references>
      </pivotArea>
    </format>
    <format dxfId="1933">
      <pivotArea dataOnly="0" labelOnly="1" outline="0" fieldPosition="0">
        <references count="3">
          <reference field="9" count="1" selected="0">
            <x v="36"/>
          </reference>
          <reference field="10" count="1" selected="0">
            <x v="28"/>
          </reference>
          <reference field="18" count="3">
            <x v="4"/>
            <x v="16"/>
            <x v="30"/>
          </reference>
        </references>
      </pivotArea>
    </format>
    <format dxfId="1932">
      <pivotArea dataOnly="0" labelOnly="1" outline="0" fieldPosition="0">
        <references count="3">
          <reference field="9" count="1" selected="0">
            <x v="37"/>
          </reference>
          <reference field="10" count="1" selected="0">
            <x v="32"/>
          </reference>
          <reference field="18" count="10">
            <x v="1"/>
            <x v="5"/>
            <x v="7"/>
            <x v="9"/>
            <x v="12"/>
            <x v="14"/>
            <x v="15"/>
            <x v="25"/>
            <x v="28"/>
            <x v="29"/>
          </reference>
        </references>
      </pivotArea>
    </format>
    <format dxfId="1931">
      <pivotArea dataOnly="0" labelOnly="1" outline="0" fieldPosition="0">
        <references count="3">
          <reference field="9" count="1" selected="0">
            <x v="38"/>
          </reference>
          <reference field="10" count="1" selected="0">
            <x v="36"/>
          </reference>
          <reference field="18" count="1">
            <x v="22"/>
          </reference>
        </references>
      </pivotArea>
    </format>
    <format dxfId="1930">
      <pivotArea dataOnly="0" labelOnly="1" outline="0" fieldPosition="0">
        <references count="3">
          <reference field="9" count="1" selected="0">
            <x v="39"/>
          </reference>
          <reference field="10" count="1" selected="0">
            <x v="40"/>
          </reference>
          <reference field="18" count="7">
            <x v="11"/>
            <x v="12"/>
            <x v="13"/>
            <x v="15"/>
            <x v="25"/>
            <x v="27"/>
            <x v="29"/>
          </reference>
        </references>
      </pivotArea>
    </format>
    <format dxfId="1929">
      <pivotArea dataOnly="0" labelOnly="1" outline="0" fieldPosition="0">
        <references count="3">
          <reference field="9" count="1" selected="0">
            <x v="40"/>
          </reference>
          <reference field="10" count="1" selected="0">
            <x v="44"/>
          </reference>
          <reference field="18" count="8">
            <x v="3"/>
            <x v="5"/>
            <x v="7"/>
            <x v="8"/>
            <x v="9"/>
            <x v="14"/>
            <x v="15"/>
            <x v="28"/>
          </reference>
        </references>
      </pivotArea>
    </format>
    <format dxfId="1928">
      <pivotArea dataOnly="0" labelOnly="1" outline="0" fieldPosition="0">
        <references count="3">
          <reference field="9" count="1" selected="0">
            <x v="41"/>
          </reference>
          <reference field="10" count="1" selected="0">
            <x v="48"/>
          </reference>
          <reference field="18" count="2">
            <x v="6"/>
            <x v="22"/>
          </reference>
        </references>
      </pivotArea>
    </format>
    <format dxfId="1927">
      <pivotArea dataOnly="0" labelOnly="1" outline="0" fieldPosition="0">
        <references count="3">
          <reference field="9" count="1" selected="0">
            <x v="42"/>
          </reference>
          <reference field="10" count="1" selected="0">
            <x v="52"/>
          </reference>
          <reference field="18" count="1">
            <x v="6"/>
          </reference>
        </references>
      </pivotArea>
    </format>
    <format dxfId="1926">
      <pivotArea dataOnly="0" labelOnly="1" outline="0" fieldPosition="0">
        <references count="3">
          <reference field="9" count="1" selected="0">
            <x v="43"/>
          </reference>
          <reference field="10" count="1" selected="0">
            <x v="9"/>
          </reference>
          <reference field="18" count="7">
            <x v="1"/>
            <x v="3"/>
            <x v="7"/>
            <x v="14"/>
            <x v="21"/>
            <x v="28"/>
            <x v="29"/>
          </reference>
        </references>
      </pivotArea>
    </format>
    <format dxfId="1925">
      <pivotArea dataOnly="0" labelOnly="1" outline="0" fieldPosition="0">
        <references count="3">
          <reference field="9" count="1" selected="0">
            <x v="44"/>
          </reference>
          <reference field="10" count="1" selected="0">
            <x v="13"/>
          </reference>
          <reference field="18" count="1">
            <x v="3"/>
          </reference>
        </references>
      </pivotArea>
    </format>
    <format dxfId="1924">
      <pivotArea dataOnly="0" labelOnly="1" outline="0" fieldPosition="0">
        <references count="3">
          <reference field="9" count="1" selected="0">
            <x v="45"/>
          </reference>
          <reference field="10" count="1" selected="0">
            <x v="17"/>
          </reference>
          <reference field="18" count="17">
            <x v="0"/>
            <x v="1"/>
            <x v="3"/>
            <x v="7"/>
            <x v="8"/>
            <x v="9"/>
            <x v="11"/>
            <x v="12"/>
            <x v="13"/>
            <x v="14"/>
            <x v="16"/>
            <x v="18"/>
            <x v="22"/>
            <x v="27"/>
            <x v="28"/>
            <x v="29"/>
            <x v="30"/>
          </reference>
        </references>
      </pivotArea>
    </format>
    <format dxfId="1923">
      <pivotArea dataOnly="0" labelOnly="1" outline="0" fieldPosition="0">
        <references count="3">
          <reference field="9" count="1" selected="0">
            <x v="46"/>
          </reference>
          <reference field="10" count="1" selected="0">
            <x v="21"/>
          </reference>
          <reference field="18" count="1">
            <x v="6"/>
          </reference>
        </references>
      </pivotArea>
    </format>
    <format dxfId="1922">
      <pivotArea dataOnly="0" labelOnly="1" outline="0" fieldPosition="0">
        <references count="3">
          <reference field="9" count="1" selected="0">
            <x v="47"/>
          </reference>
          <reference field="10" count="1" selected="0">
            <x v="25"/>
          </reference>
          <reference field="18" count="2">
            <x v="16"/>
            <x v="30"/>
          </reference>
        </references>
      </pivotArea>
    </format>
    <format dxfId="1921">
      <pivotArea dataOnly="0" labelOnly="1" outline="0" fieldPosition="0">
        <references count="3">
          <reference field="9" count="1" selected="0">
            <x v="48"/>
          </reference>
          <reference field="10" count="1" selected="0">
            <x v="29"/>
          </reference>
          <reference field="18" count="8">
            <x v="3"/>
            <x v="5"/>
            <x v="7"/>
            <x v="14"/>
            <x v="16"/>
            <x v="19"/>
            <x v="25"/>
            <x v="28"/>
          </reference>
        </references>
      </pivotArea>
    </format>
    <format dxfId="1920">
      <pivotArea dataOnly="0" labelOnly="1" outline="0" fieldPosition="0">
        <references count="3">
          <reference field="9" count="1" selected="0">
            <x v="49"/>
          </reference>
          <reference field="10" count="1" selected="0">
            <x v="33"/>
          </reference>
          <reference field="18" count="1">
            <x v="22"/>
          </reference>
        </references>
      </pivotArea>
    </format>
    <format dxfId="1919">
      <pivotArea dataOnly="0" labelOnly="1" outline="0" fieldPosition="0">
        <references count="3">
          <reference field="9" count="1" selected="0">
            <x v="50"/>
          </reference>
          <reference field="10" count="1" selected="0">
            <x v="37"/>
          </reference>
          <reference field="18" count="5">
            <x v="0"/>
            <x v="11"/>
            <x v="13"/>
            <x v="27"/>
            <x v="29"/>
          </reference>
        </references>
      </pivotArea>
    </format>
    <format dxfId="1918">
      <pivotArea dataOnly="0" labelOnly="1" outline="0" fieldPosition="0">
        <references count="3">
          <reference field="9" count="1" selected="0">
            <x v="51"/>
          </reference>
          <reference field="10" count="1" selected="0">
            <x v="41"/>
          </reference>
          <reference field="18" count="8">
            <x v="1"/>
            <x v="3"/>
            <x v="7"/>
            <x v="9"/>
            <x v="12"/>
            <x v="18"/>
            <x v="25"/>
            <x v="28"/>
          </reference>
        </references>
      </pivotArea>
    </format>
    <format dxfId="1917">
      <pivotArea dataOnly="0" labelOnly="1" outline="0" fieldPosition="0">
        <references count="3">
          <reference field="9" count="1" selected="0">
            <x v="52"/>
          </reference>
          <reference field="10" count="1" selected="0">
            <x v="45"/>
          </reference>
          <reference field="18" count="2">
            <x v="6"/>
            <x v="22"/>
          </reference>
        </references>
      </pivotArea>
    </format>
    <format dxfId="1916">
      <pivotArea dataOnly="0" labelOnly="1" outline="0" fieldPosition="0">
        <references count="3">
          <reference field="9" count="1" selected="0">
            <x v="53"/>
          </reference>
          <reference field="10" count="1" selected="0">
            <x v="49"/>
          </reference>
          <reference field="18" count="1">
            <x v="6"/>
          </reference>
        </references>
      </pivotArea>
    </format>
    <format dxfId="1915">
      <pivotArea dataOnly="0" labelOnly="1" outline="0" fieldPosition="0">
        <references count="3">
          <reference field="9" count="1" selected="0">
            <x v="54"/>
          </reference>
          <reference field="10" count="1" selected="0">
            <x v="4"/>
          </reference>
          <reference field="18" count="1">
            <x v="15"/>
          </reference>
        </references>
      </pivotArea>
    </format>
    <format dxfId="1914">
      <pivotArea dataOnly="0" labelOnly="1" outline="0" fieldPosition="0">
        <references count="3">
          <reference field="9" count="1" selected="0">
            <x v="55"/>
          </reference>
          <reference field="10" count="1" selected="0">
            <x v="5"/>
          </reference>
          <reference field="18" count="9">
            <x v="3"/>
            <x v="5"/>
            <x v="6"/>
            <x v="7"/>
            <x v="11"/>
            <x v="13"/>
            <x v="19"/>
            <x v="21"/>
            <x v="27"/>
          </reference>
        </references>
      </pivotArea>
    </format>
    <format dxfId="1913">
      <pivotArea dataOnly="0" labelOnly="1" outline="0" fieldPosition="0">
        <references count="3">
          <reference field="9" count="1" selected="0">
            <x v="56"/>
          </reference>
          <reference field="10" count="1" selected="0">
            <x v="6"/>
          </reference>
          <reference field="18" count="9">
            <x v="3"/>
            <x v="5"/>
            <x v="6"/>
            <x v="7"/>
            <x v="8"/>
            <x v="11"/>
            <x v="13"/>
            <x v="22"/>
            <x v="27"/>
          </reference>
        </references>
      </pivotArea>
    </format>
    <format dxfId="1912">
      <pivotArea dataOnly="0" labelOnly="1" outline="0" fieldPosition="0">
        <references count="3">
          <reference field="9" count="1" selected="0">
            <x v="57"/>
          </reference>
          <reference field="10" count="1" selected="0">
            <x v="7"/>
          </reference>
          <reference field="18" count="10">
            <x v="3"/>
            <x v="5"/>
            <x v="6"/>
            <x v="7"/>
            <x v="11"/>
            <x v="13"/>
            <x v="15"/>
            <x v="16"/>
            <x v="22"/>
            <x v="27"/>
          </reference>
        </references>
      </pivotArea>
    </format>
    <format dxfId="1911">
      <pivotArea dataOnly="0" labelOnly="1" outline="0" fieldPosition="0">
        <references count="3">
          <reference field="9" count="1" selected="0">
            <x v="58"/>
          </reference>
          <reference field="10" count="1" selected="0">
            <x v="0"/>
          </reference>
          <reference field="18" count="11">
            <x v="0"/>
            <x v="3"/>
            <x v="5"/>
            <x v="8"/>
            <x v="9"/>
            <x v="12"/>
            <x v="18"/>
            <x v="19"/>
            <x v="22"/>
            <x v="25"/>
            <x v="28"/>
          </reference>
        </references>
      </pivotArea>
    </format>
    <format dxfId="1910">
      <pivotArea dataOnly="0" labelOnly="1" outline="0" fieldPosition="0">
        <references count="3">
          <reference field="9" count="1" selected="0">
            <x v="59"/>
          </reference>
          <reference field="10" count="1" selected="0">
            <x v="1"/>
          </reference>
          <reference field="18" count="9">
            <x v="3"/>
            <x v="4"/>
            <x v="8"/>
            <x v="9"/>
            <x v="12"/>
            <x v="19"/>
            <x v="22"/>
            <x v="28"/>
            <x v="30"/>
          </reference>
        </references>
      </pivotArea>
    </format>
    <format dxfId="1909">
      <pivotArea dataOnly="0" labelOnly="1" outline="0" fieldPosition="0">
        <references count="3">
          <reference field="9" count="1" selected="0">
            <x v="60"/>
          </reference>
          <reference field="10" count="1" selected="0">
            <x v="2"/>
          </reference>
          <reference field="18" count="9">
            <x v="4"/>
            <x v="5"/>
            <x v="6"/>
            <x v="8"/>
            <x v="12"/>
            <x v="19"/>
            <x v="22"/>
            <x v="25"/>
            <x v="28"/>
          </reference>
        </references>
      </pivotArea>
    </format>
    <format dxfId="1908">
      <pivotArea dataOnly="0" labelOnly="1" outline="0" fieldPosition="0">
        <references count="3">
          <reference field="9" count="1" selected="0">
            <x v="61"/>
          </reference>
          <reference field="10" count="1" selected="0">
            <x v="3"/>
          </reference>
          <reference field="18" count="12">
            <x v="0"/>
            <x v="3"/>
            <x v="4"/>
            <x v="8"/>
            <x v="9"/>
            <x v="12"/>
            <x v="19"/>
            <x v="22"/>
            <x v="24"/>
            <x v="25"/>
            <x v="28"/>
            <x v="30"/>
          </reference>
        </references>
      </pivotArea>
    </format>
    <format dxfId="1907">
      <pivotArea dataOnly="0" labelOnly="1" outline="0" fieldPosition="0">
        <references count="3">
          <reference field="9" count="1" selected="0">
            <x v="62"/>
          </reference>
          <reference field="10" count="1" selected="0">
            <x v="8"/>
          </reference>
          <reference field="18" count="2">
            <x v="6"/>
            <x v="22"/>
          </reference>
        </references>
      </pivotArea>
    </format>
    <format dxfId="1906">
      <pivotArea dataOnly="0" labelOnly="1" outline="0" fieldPosition="0">
        <references count="4">
          <reference field="9" count="1" selected="0">
            <x v="0"/>
          </reference>
          <reference field="10" count="1" selected="0">
            <x v="58"/>
          </reference>
          <reference field="14" count="1">
            <x v="5"/>
          </reference>
          <reference field="18" count="1" selected="0">
            <x v="28"/>
          </reference>
        </references>
      </pivotArea>
    </format>
    <format dxfId="1905">
      <pivotArea dataOnly="0" labelOnly="1" outline="0" fieldPosition="0">
        <references count="4">
          <reference field="9" count="1" selected="0">
            <x v="2"/>
          </reference>
          <reference field="10" count="1" selected="0">
            <x v="56"/>
          </reference>
          <reference field="14" count="1">
            <x v="28"/>
          </reference>
          <reference field="18" count="1" selected="0">
            <x v="5"/>
          </reference>
        </references>
      </pivotArea>
    </format>
    <format dxfId="1904">
      <pivotArea dataOnly="0" labelOnly="1" outline="0" fieldPosition="0">
        <references count="4">
          <reference field="9" count="1" selected="0">
            <x v="2"/>
          </reference>
          <reference field="10" count="1" selected="0">
            <x v="56"/>
          </reference>
          <reference field="14" count="1">
            <x v="16"/>
          </reference>
          <reference field="18" count="1" selected="0">
            <x v="12"/>
          </reference>
        </references>
      </pivotArea>
    </format>
    <format dxfId="1903">
      <pivotArea dataOnly="0" labelOnly="1" outline="0" fieldPosition="0">
        <references count="4">
          <reference field="9" count="1" selected="0">
            <x v="2"/>
          </reference>
          <reference field="10" count="1" selected="0">
            <x v="56"/>
          </reference>
          <reference field="14" count="1">
            <x v="19"/>
          </reference>
          <reference field="18" count="1" selected="0">
            <x v="16"/>
          </reference>
        </references>
      </pivotArea>
    </format>
    <format dxfId="1902">
      <pivotArea dataOnly="0" labelOnly="1" outline="0" fieldPosition="0">
        <references count="4">
          <reference field="9" count="1" selected="0">
            <x v="2"/>
          </reference>
          <reference field="10" count="1" selected="0">
            <x v="56"/>
          </reference>
          <reference field="14" count="1">
            <x v="7"/>
          </reference>
          <reference field="18" count="1" selected="0">
            <x v="22"/>
          </reference>
        </references>
      </pivotArea>
    </format>
    <format dxfId="1901">
      <pivotArea dataOnly="0" labelOnly="1" outline="0" fieldPosition="0">
        <references count="4">
          <reference field="9" count="1" selected="0">
            <x v="2"/>
          </reference>
          <reference field="10" count="1" selected="0">
            <x v="56"/>
          </reference>
          <reference field="14" count="1">
            <x v="26"/>
          </reference>
          <reference field="18" count="1" selected="0">
            <x v="30"/>
          </reference>
        </references>
      </pivotArea>
    </format>
    <format dxfId="1900">
      <pivotArea dataOnly="0" labelOnly="1" outline="0" fieldPosition="0">
        <references count="4">
          <reference field="9" count="1" selected="0">
            <x v="3"/>
          </reference>
          <reference field="10" count="1" selected="0">
            <x v="55"/>
          </reference>
          <reference field="14" count="1">
            <x v="4"/>
          </reference>
          <reference field="18" count="1" selected="0">
            <x v="0"/>
          </reference>
        </references>
      </pivotArea>
    </format>
    <format dxfId="1899">
      <pivotArea dataOnly="0" labelOnly="1" outline="0" fieldPosition="0">
        <references count="4">
          <reference field="9" count="1" selected="0">
            <x v="3"/>
          </reference>
          <reference field="10" count="1" selected="0">
            <x v="55"/>
          </reference>
          <reference field="14" count="1">
            <x v="11"/>
          </reference>
          <reference field="18" count="1" selected="0">
            <x v="3"/>
          </reference>
        </references>
      </pivotArea>
    </format>
    <format dxfId="1898">
      <pivotArea dataOnly="0" labelOnly="1" outline="0" fieldPosition="0">
        <references count="4">
          <reference field="9" count="1" selected="0">
            <x v="3"/>
          </reference>
          <reference field="10" count="1" selected="0">
            <x v="55"/>
          </reference>
          <reference field="14" count="1">
            <x v="28"/>
          </reference>
          <reference field="18" count="1" selected="0">
            <x v="5"/>
          </reference>
        </references>
      </pivotArea>
    </format>
    <format dxfId="1897">
      <pivotArea dataOnly="0" labelOnly="1" outline="0" fieldPosition="0">
        <references count="4">
          <reference field="9" count="1" selected="0">
            <x v="3"/>
          </reference>
          <reference field="10" count="1" selected="0">
            <x v="55"/>
          </reference>
          <reference field="14" count="1">
            <x v="27"/>
          </reference>
          <reference field="18" count="1" selected="0">
            <x v="6"/>
          </reference>
        </references>
      </pivotArea>
    </format>
    <format dxfId="1896">
      <pivotArea dataOnly="0" labelOnly="1" outline="0" fieldPosition="0">
        <references count="4">
          <reference field="9" count="1" selected="0">
            <x v="3"/>
          </reference>
          <reference field="10" count="1" selected="0">
            <x v="55"/>
          </reference>
          <reference field="14" count="1">
            <x v="9"/>
          </reference>
          <reference field="18" count="1" selected="0">
            <x v="8"/>
          </reference>
        </references>
      </pivotArea>
    </format>
    <format dxfId="1895">
      <pivotArea dataOnly="0" labelOnly="1" outline="0" fieldPosition="0">
        <references count="4">
          <reference field="9" count="1" selected="0">
            <x v="3"/>
          </reference>
          <reference field="10" count="1" selected="0">
            <x v="55"/>
          </reference>
          <reference field="14" count="1">
            <x v="8"/>
          </reference>
          <reference field="18" count="1" selected="0">
            <x v="9"/>
          </reference>
        </references>
      </pivotArea>
    </format>
    <format dxfId="1894">
      <pivotArea dataOnly="0" labelOnly="1" outline="0" fieldPosition="0">
        <references count="4">
          <reference field="9" count="1" selected="0">
            <x v="3"/>
          </reference>
          <reference field="10" count="1" selected="0">
            <x v="55"/>
          </reference>
          <reference field="14" count="1">
            <x v="16"/>
          </reference>
          <reference field="18" count="1" selected="0">
            <x v="12"/>
          </reference>
        </references>
      </pivotArea>
    </format>
    <format dxfId="1893">
      <pivotArea dataOnly="0" labelOnly="1" outline="0" fieldPosition="0">
        <references count="4">
          <reference field="9" count="1" selected="0">
            <x v="3"/>
          </reference>
          <reference field="10" count="1" selected="0">
            <x v="55"/>
          </reference>
          <reference field="14" count="1">
            <x v="18"/>
          </reference>
          <reference field="18" count="1" selected="0">
            <x v="13"/>
          </reference>
        </references>
      </pivotArea>
    </format>
    <format dxfId="1892">
      <pivotArea dataOnly="0" labelOnly="1" outline="0" fieldPosition="0">
        <references count="4">
          <reference field="9" count="1" selected="0">
            <x v="3"/>
          </reference>
          <reference field="10" count="1" selected="0">
            <x v="55"/>
          </reference>
          <reference field="14" count="1">
            <x v="14"/>
          </reference>
          <reference field="18" count="1" selected="0">
            <x v="18"/>
          </reference>
        </references>
      </pivotArea>
    </format>
    <format dxfId="1891">
      <pivotArea dataOnly="0" labelOnly="1" outline="0" fieldPosition="0">
        <references count="4">
          <reference field="9" count="1" selected="0">
            <x v="3"/>
          </reference>
          <reference field="10" count="1" selected="0">
            <x v="55"/>
          </reference>
          <reference field="14" count="1">
            <x v="7"/>
          </reference>
          <reference field="18" count="1" selected="0">
            <x v="22"/>
          </reference>
        </references>
      </pivotArea>
    </format>
    <format dxfId="1890">
      <pivotArea dataOnly="0" labelOnly="1" outline="0" fieldPosition="0">
        <references count="4">
          <reference field="9" count="1" selected="0">
            <x v="3"/>
          </reference>
          <reference field="10" count="1" selected="0">
            <x v="55"/>
          </reference>
          <reference field="14" count="1">
            <x v="22"/>
          </reference>
          <reference field="18" count="1" selected="0">
            <x v="25"/>
          </reference>
        </references>
      </pivotArea>
    </format>
    <format dxfId="1889">
      <pivotArea dataOnly="0" labelOnly="1" outline="0" fieldPosition="0">
        <references count="4">
          <reference field="9" count="1" selected="0">
            <x v="3"/>
          </reference>
          <reference field="10" count="1" selected="0">
            <x v="55"/>
          </reference>
          <reference field="14" count="1">
            <x v="26"/>
          </reference>
          <reference field="18" count="1" selected="0">
            <x v="30"/>
          </reference>
        </references>
      </pivotArea>
    </format>
    <format dxfId="1888">
      <pivotArea dataOnly="0" labelOnly="1" outline="0" fieldPosition="0">
        <references count="4">
          <reference field="9" count="1" selected="0">
            <x v="4"/>
          </reference>
          <reference field="10" count="1" selected="0">
            <x v="54"/>
          </reference>
          <reference field="14" count="1">
            <x v="11"/>
          </reference>
          <reference field="18" count="1" selected="0">
            <x v="3"/>
          </reference>
        </references>
      </pivotArea>
    </format>
    <format dxfId="1887">
      <pivotArea dataOnly="0" labelOnly="1" outline="0" fieldPosition="0">
        <references count="4">
          <reference field="9" count="1" selected="0">
            <x v="4"/>
          </reference>
          <reference field="10" count="1" selected="0">
            <x v="54"/>
          </reference>
          <reference field="14" count="1">
            <x v="27"/>
          </reference>
          <reference field="18" count="1" selected="0">
            <x v="6"/>
          </reference>
        </references>
      </pivotArea>
    </format>
    <format dxfId="1886">
      <pivotArea dataOnly="0" labelOnly="1" outline="0" fieldPosition="0">
        <references count="4">
          <reference field="9" count="1" selected="0">
            <x v="4"/>
          </reference>
          <reference field="10" count="1" selected="0">
            <x v="54"/>
          </reference>
          <reference field="14" count="1">
            <x v="10"/>
          </reference>
          <reference field="18" count="1" selected="0">
            <x v="7"/>
          </reference>
        </references>
      </pivotArea>
    </format>
    <format dxfId="1885">
      <pivotArea dataOnly="0" labelOnly="1" outline="0" fieldPosition="0">
        <references count="4">
          <reference field="9" count="1" selected="0">
            <x v="4"/>
          </reference>
          <reference field="10" count="1" selected="0">
            <x v="54"/>
          </reference>
          <reference field="14" count="1">
            <x v="9"/>
          </reference>
          <reference field="18" count="1" selected="0">
            <x v="8"/>
          </reference>
        </references>
      </pivotArea>
    </format>
    <format dxfId="1884">
      <pivotArea dataOnly="0" labelOnly="1" outline="0" fieldPosition="0">
        <references count="4">
          <reference field="9" count="1" selected="0">
            <x v="4"/>
          </reference>
          <reference field="10" count="1" selected="0">
            <x v="54"/>
          </reference>
          <reference field="14" count="1">
            <x v="8"/>
          </reference>
          <reference field="18" count="1" selected="0">
            <x v="9"/>
          </reference>
        </references>
      </pivotArea>
    </format>
    <format dxfId="1883">
      <pivotArea dataOnly="0" labelOnly="1" outline="0" fieldPosition="0">
        <references count="4">
          <reference field="9" count="1" selected="0">
            <x v="4"/>
          </reference>
          <reference field="10" count="1" selected="0">
            <x v="54"/>
          </reference>
          <reference field="14" count="1">
            <x v="16"/>
          </reference>
          <reference field="18" count="1" selected="0">
            <x v="12"/>
          </reference>
        </references>
      </pivotArea>
    </format>
    <format dxfId="1882">
      <pivotArea dataOnly="0" labelOnly="1" outline="0" fieldPosition="0">
        <references count="4">
          <reference field="9" count="1" selected="0">
            <x v="4"/>
          </reference>
          <reference field="10" count="1" selected="0">
            <x v="54"/>
          </reference>
          <reference field="14" count="1">
            <x v="25"/>
          </reference>
          <reference field="18" count="1" selected="0">
            <x v="14"/>
          </reference>
        </references>
      </pivotArea>
    </format>
    <format dxfId="1881">
      <pivotArea dataOnly="0" labelOnly="1" outline="0" fieldPosition="0">
        <references count="4">
          <reference field="9" count="1" selected="0">
            <x v="4"/>
          </reference>
          <reference field="10" count="1" selected="0">
            <x v="54"/>
          </reference>
          <reference field="14" count="1">
            <x v="19"/>
          </reference>
          <reference field="18" count="1" selected="0">
            <x v="16"/>
          </reference>
        </references>
      </pivotArea>
    </format>
    <format dxfId="1880">
      <pivotArea dataOnly="0" labelOnly="1" outline="0" fieldPosition="0">
        <references count="4">
          <reference field="9" count="1" selected="0">
            <x v="4"/>
          </reference>
          <reference field="10" count="1" selected="0">
            <x v="54"/>
          </reference>
          <reference field="14" count="1">
            <x v="14"/>
          </reference>
          <reference field="18" count="1" selected="0">
            <x v="18"/>
          </reference>
        </references>
      </pivotArea>
    </format>
    <format dxfId="1879">
      <pivotArea dataOnly="0" labelOnly="1" outline="0" fieldPosition="0">
        <references count="4">
          <reference field="9" count="1" selected="0">
            <x v="4"/>
          </reference>
          <reference field="10" count="1" selected="0">
            <x v="54"/>
          </reference>
          <reference field="14" count="1">
            <x v="7"/>
          </reference>
          <reference field="18" count="1" selected="0">
            <x v="22"/>
          </reference>
        </references>
      </pivotArea>
    </format>
    <format dxfId="1878">
      <pivotArea dataOnly="0" labelOnly="1" outline="0" fieldPosition="0">
        <references count="4">
          <reference field="9" count="1" selected="0">
            <x v="4"/>
          </reference>
          <reference field="10" count="1" selected="0">
            <x v="54"/>
          </reference>
          <reference field="14" count="1">
            <x v="23"/>
          </reference>
          <reference field="18" count="1" selected="0">
            <x v="24"/>
          </reference>
        </references>
      </pivotArea>
    </format>
    <format dxfId="1877">
      <pivotArea dataOnly="0" labelOnly="1" outline="0" fieldPosition="0">
        <references count="4">
          <reference field="9" count="1" selected="0">
            <x v="4"/>
          </reference>
          <reference field="10" count="1" selected="0">
            <x v="54"/>
          </reference>
          <reference field="14" count="1">
            <x v="22"/>
          </reference>
          <reference field="18" count="1" selected="0">
            <x v="25"/>
          </reference>
        </references>
      </pivotArea>
    </format>
    <format dxfId="1876">
      <pivotArea dataOnly="0" labelOnly="1" outline="0" fieldPosition="0">
        <references count="4">
          <reference field="9" count="1" selected="0">
            <x v="5"/>
          </reference>
          <reference field="10" count="1" selected="0">
            <x v="59"/>
          </reference>
          <reference field="14" count="1">
            <x v="4"/>
          </reference>
          <reference field="18" count="1" selected="0">
            <x v="0"/>
          </reference>
        </references>
      </pivotArea>
    </format>
    <format dxfId="1875">
      <pivotArea dataOnly="0" labelOnly="1" outline="0" fieldPosition="0">
        <references count="4">
          <reference field="9" count="1" selected="0">
            <x v="5"/>
          </reference>
          <reference field="10" count="1" selected="0">
            <x v="59"/>
          </reference>
          <reference field="14" count="1">
            <x v="11"/>
          </reference>
          <reference field="18" count="1" selected="0">
            <x v="3"/>
          </reference>
        </references>
      </pivotArea>
    </format>
    <format dxfId="1874">
      <pivotArea dataOnly="0" labelOnly="1" outline="0" fieldPosition="0">
        <references count="4">
          <reference field="9" count="1" selected="0">
            <x v="5"/>
          </reference>
          <reference field="10" count="1" selected="0">
            <x v="59"/>
          </reference>
          <reference field="14" count="1">
            <x v="28"/>
          </reference>
          <reference field="18" count="1" selected="0">
            <x v="5"/>
          </reference>
        </references>
      </pivotArea>
    </format>
    <format dxfId="1873">
      <pivotArea dataOnly="0" labelOnly="1" outline="0" fieldPosition="0">
        <references count="4">
          <reference field="9" count="1" selected="0">
            <x v="5"/>
          </reference>
          <reference field="10" count="1" selected="0">
            <x v="59"/>
          </reference>
          <reference field="14" count="1">
            <x v="27"/>
          </reference>
          <reference field="18" count="1" selected="0">
            <x v="6"/>
          </reference>
        </references>
      </pivotArea>
    </format>
    <format dxfId="1872">
      <pivotArea dataOnly="0" labelOnly="1" outline="0" fieldPosition="0">
        <references count="4">
          <reference field="9" count="1" selected="0">
            <x v="5"/>
          </reference>
          <reference field="10" count="1" selected="0">
            <x v="59"/>
          </reference>
          <reference field="14" count="1">
            <x v="10"/>
          </reference>
          <reference field="18" count="1" selected="0">
            <x v="7"/>
          </reference>
        </references>
      </pivotArea>
    </format>
    <format dxfId="1871">
      <pivotArea dataOnly="0" labelOnly="1" outline="0" fieldPosition="0">
        <references count="4">
          <reference field="9" count="1" selected="0">
            <x v="5"/>
          </reference>
          <reference field="10" count="1" selected="0">
            <x v="59"/>
          </reference>
          <reference field="14" count="1">
            <x v="9"/>
          </reference>
          <reference field="18" count="1" selected="0">
            <x v="8"/>
          </reference>
        </references>
      </pivotArea>
    </format>
    <format dxfId="1870">
      <pivotArea dataOnly="0" labelOnly="1" outline="0" fieldPosition="0">
        <references count="4">
          <reference field="9" count="1" selected="0">
            <x v="5"/>
          </reference>
          <reference field="10" count="1" selected="0">
            <x v="59"/>
          </reference>
          <reference field="14" count="1">
            <x v="8"/>
          </reference>
          <reference field="18" count="1" selected="0">
            <x v="9"/>
          </reference>
        </references>
      </pivotArea>
    </format>
    <format dxfId="1869">
      <pivotArea dataOnly="0" labelOnly="1" outline="0" fieldPosition="0">
        <references count="4">
          <reference field="9" count="1" selected="0">
            <x v="5"/>
          </reference>
          <reference field="10" count="1" selected="0">
            <x v="59"/>
          </reference>
          <reference field="14" count="1">
            <x v="16"/>
          </reference>
          <reference field="18" count="1" selected="0">
            <x v="12"/>
          </reference>
        </references>
      </pivotArea>
    </format>
    <format dxfId="1868">
      <pivotArea dataOnly="0" labelOnly="1" outline="0" fieldPosition="0">
        <references count="4">
          <reference field="9" count="1" selected="0">
            <x v="5"/>
          </reference>
          <reference field="10" count="1" selected="0">
            <x v="59"/>
          </reference>
          <reference field="14" count="1">
            <x v="15"/>
          </reference>
          <reference field="18" count="1" selected="0">
            <x v="15"/>
          </reference>
        </references>
      </pivotArea>
    </format>
    <format dxfId="1867">
      <pivotArea dataOnly="0" labelOnly="1" outline="0" fieldPosition="0">
        <references count="4">
          <reference field="9" count="1" selected="0">
            <x v="5"/>
          </reference>
          <reference field="10" count="1" selected="0">
            <x v="59"/>
          </reference>
          <reference field="14" count="1">
            <x v="19"/>
          </reference>
          <reference field="18" count="1" selected="0">
            <x v="16"/>
          </reference>
        </references>
      </pivotArea>
    </format>
    <format dxfId="1866">
      <pivotArea dataOnly="0" labelOnly="1" outline="0" fieldPosition="0">
        <references count="4">
          <reference field="9" count="1" selected="0">
            <x v="5"/>
          </reference>
          <reference field="10" count="1" selected="0">
            <x v="59"/>
          </reference>
          <reference field="14" count="1">
            <x v="14"/>
          </reference>
          <reference field="18" count="1" selected="0">
            <x v="18"/>
          </reference>
        </references>
      </pivotArea>
    </format>
    <format dxfId="1865">
      <pivotArea dataOnly="0" labelOnly="1" outline="0" fieldPosition="0">
        <references count="4">
          <reference field="9" count="1" selected="0">
            <x v="5"/>
          </reference>
          <reference field="10" count="1" selected="0">
            <x v="59"/>
          </reference>
          <reference field="14" count="1">
            <x v="7"/>
          </reference>
          <reference field="18" count="1" selected="0">
            <x v="22"/>
          </reference>
        </references>
      </pivotArea>
    </format>
    <format dxfId="1864">
      <pivotArea dataOnly="0" labelOnly="1" outline="0" fieldPosition="0">
        <references count="4">
          <reference field="9" count="1" selected="0">
            <x v="5"/>
          </reference>
          <reference field="10" count="1" selected="0">
            <x v="59"/>
          </reference>
          <reference field="14" count="1">
            <x v="23"/>
          </reference>
          <reference field="18" count="1" selected="0">
            <x v="24"/>
          </reference>
        </references>
      </pivotArea>
    </format>
    <format dxfId="1863">
      <pivotArea dataOnly="0" labelOnly="1" outline="0" fieldPosition="0">
        <references count="4">
          <reference field="9" count="1" selected="0">
            <x v="5"/>
          </reference>
          <reference field="10" count="1" selected="0">
            <x v="59"/>
          </reference>
          <reference field="14" count="1">
            <x v="22"/>
          </reference>
          <reference field="18" count="1" selected="0">
            <x v="25"/>
          </reference>
        </references>
      </pivotArea>
    </format>
    <format dxfId="1862">
      <pivotArea dataOnly="0" labelOnly="1" outline="0" fieldPosition="0">
        <references count="4">
          <reference field="9" count="1" selected="0">
            <x v="5"/>
          </reference>
          <reference field="10" count="1" selected="0">
            <x v="59"/>
          </reference>
          <reference field="14" count="1">
            <x v="29"/>
          </reference>
          <reference field="18" count="1" selected="0">
            <x v="29"/>
          </reference>
        </references>
      </pivotArea>
    </format>
    <format dxfId="1861">
      <pivotArea dataOnly="0" labelOnly="1" outline="0" fieldPosition="0">
        <references count="4">
          <reference field="9" count="1" selected="0">
            <x v="5"/>
          </reference>
          <reference field="10" count="1" selected="0">
            <x v="59"/>
          </reference>
          <reference field="14" count="1">
            <x v="26"/>
          </reference>
          <reference field="18" count="1" selected="0">
            <x v="30"/>
          </reference>
        </references>
      </pivotArea>
    </format>
    <format dxfId="1860">
      <pivotArea dataOnly="0" labelOnly="1" outline="0" fieldPosition="0">
        <references count="4">
          <reference field="9" count="1" selected="0">
            <x v="6"/>
          </reference>
          <reference field="10" count="1" selected="0">
            <x v="53"/>
          </reference>
          <reference field="14" count="1">
            <x v="3"/>
          </reference>
          <reference field="18" count="1" selected="0">
            <x v="20"/>
          </reference>
        </references>
      </pivotArea>
    </format>
    <format dxfId="1859">
      <pivotArea dataOnly="0" labelOnly="1" outline="0" fieldPosition="0">
        <references count="4">
          <reference field="9" count="1" selected="0">
            <x v="7"/>
          </reference>
          <reference field="10" count="1" selected="0">
            <x v="60"/>
          </reference>
          <reference field="14" count="1">
            <x v="31"/>
          </reference>
          <reference field="18" count="1" selected="0">
            <x v="31"/>
          </reference>
        </references>
      </pivotArea>
    </format>
    <format dxfId="1858">
      <pivotArea dataOnly="0" labelOnly="1" outline="0" fieldPosition="0">
        <references count="4">
          <reference field="9" count="1" selected="0">
            <x v="8"/>
          </reference>
          <reference field="10" count="1" selected="0">
            <x v="61"/>
          </reference>
          <reference field="14" count="1">
            <x v="28"/>
          </reference>
          <reference field="18" count="1" selected="0">
            <x v="5"/>
          </reference>
        </references>
      </pivotArea>
    </format>
    <format dxfId="1857">
      <pivotArea dataOnly="0" labelOnly="1" outline="0" fieldPosition="0">
        <references count="4">
          <reference field="9" count="1" selected="0">
            <x v="8"/>
          </reference>
          <reference field="10" count="1" selected="0">
            <x v="61"/>
          </reference>
          <reference field="14" count="1">
            <x v="9"/>
          </reference>
          <reference field="18" count="1" selected="0">
            <x v="8"/>
          </reference>
        </references>
      </pivotArea>
    </format>
    <format dxfId="1856">
      <pivotArea dataOnly="0" labelOnly="1" outline="0" fieldPosition="0">
        <references count="4">
          <reference field="9" count="1" selected="0">
            <x v="8"/>
          </reference>
          <reference field="10" count="1" selected="0">
            <x v="61"/>
          </reference>
          <reference field="14" count="1">
            <x v="8"/>
          </reference>
          <reference field="18" count="1" selected="0">
            <x v="9"/>
          </reference>
        </references>
      </pivotArea>
    </format>
    <format dxfId="1855">
      <pivotArea dataOnly="0" labelOnly="1" outline="0" fieldPosition="0">
        <references count="4">
          <reference field="9" count="1" selected="0">
            <x v="8"/>
          </reference>
          <reference field="10" count="1" selected="0">
            <x v="61"/>
          </reference>
          <reference field="14" count="1">
            <x v="16"/>
          </reference>
          <reference field="18" count="1" selected="0">
            <x v="12"/>
          </reference>
        </references>
      </pivotArea>
    </format>
    <format dxfId="1854">
      <pivotArea dataOnly="0" labelOnly="1" outline="0" fieldPosition="0">
        <references count="4">
          <reference field="9" count="1" selected="0">
            <x v="8"/>
          </reference>
          <reference field="10" count="1" selected="0">
            <x v="61"/>
          </reference>
          <reference field="14" count="1">
            <x v="7"/>
          </reference>
          <reference field="18" count="1" selected="0">
            <x v="22"/>
          </reference>
        </references>
      </pivotArea>
    </format>
    <format dxfId="1853">
      <pivotArea dataOnly="0" labelOnly="1" outline="0" fieldPosition="0">
        <references count="4">
          <reference field="9" count="1" selected="0">
            <x v="8"/>
          </reference>
          <reference field="10" count="1" selected="0">
            <x v="61"/>
          </reference>
          <reference field="14" count="1">
            <x v="23"/>
          </reference>
          <reference field="18" count="1" selected="0">
            <x v="24"/>
          </reference>
        </references>
      </pivotArea>
    </format>
    <format dxfId="1852">
      <pivotArea dataOnly="0" labelOnly="1" outline="0" fieldPosition="0">
        <references count="4">
          <reference field="9" count="1" selected="0">
            <x v="8"/>
          </reference>
          <reference field="10" count="1" selected="0">
            <x v="61"/>
          </reference>
          <reference field="14" count="1">
            <x v="22"/>
          </reference>
          <reference field="18" count="1" selected="0">
            <x v="25"/>
          </reference>
        </references>
      </pivotArea>
    </format>
    <format dxfId="1851">
      <pivotArea dataOnly="0" labelOnly="1" outline="0" fieldPosition="0">
        <references count="4">
          <reference field="9" count="1" selected="0">
            <x v="8"/>
          </reference>
          <reference field="10" count="1" selected="0">
            <x v="61"/>
          </reference>
          <reference field="14" count="1">
            <x v="29"/>
          </reference>
          <reference field="18" count="1" selected="0">
            <x v="29"/>
          </reference>
        </references>
      </pivotArea>
    </format>
    <format dxfId="1850">
      <pivotArea dataOnly="0" labelOnly="1" outline="0" fieldPosition="0">
        <references count="4">
          <reference field="9" count="1" selected="0">
            <x v="8"/>
          </reference>
          <reference field="10" count="1" selected="0">
            <x v="61"/>
          </reference>
          <reference field="14" count="1">
            <x v="26"/>
          </reference>
          <reference field="18" count="1" selected="0">
            <x v="30"/>
          </reference>
        </references>
      </pivotArea>
    </format>
    <format dxfId="1849">
      <pivotArea dataOnly="0" labelOnly="1" outline="0" fieldPosition="0">
        <references count="4">
          <reference field="9" count="1" selected="0">
            <x v="8"/>
          </reference>
          <reference field="10" count="1" selected="0">
            <x v="61"/>
          </reference>
          <reference field="14" count="1">
            <x v="31"/>
          </reference>
          <reference field="18" count="1" selected="0">
            <x v="31"/>
          </reference>
        </references>
      </pivotArea>
    </format>
    <format dxfId="1848">
      <pivotArea dataOnly="0" labelOnly="1" outline="0" fieldPosition="0">
        <references count="4">
          <reference field="9" count="1" selected="0">
            <x v="9"/>
          </reference>
          <reference field="10" count="1" selected="0">
            <x v="62"/>
          </reference>
          <reference field="14" count="1">
            <x v="4"/>
          </reference>
          <reference field="18" count="1" selected="0">
            <x v="0"/>
          </reference>
        </references>
      </pivotArea>
    </format>
    <format dxfId="1847">
      <pivotArea dataOnly="0" labelOnly="1" outline="0" fieldPosition="0">
        <references count="4">
          <reference field="9" count="1" selected="0">
            <x v="9"/>
          </reference>
          <reference field="10" count="1" selected="0">
            <x v="62"/>
          </reference>
          <reference field="14" count="1">
            <x v="11"/>
          </reference>
          <reference field="18" count="1" selected="0">
            <x v="3"/>
          </reference>
        </references>
      </pivotArea>
    </format>
    <format dxfId="1846">
      <pivotArea dataOnly="0" labelOnly="1" outline="0" fieldPosition="0">
        <references count="4">
          <reference field="9" count="1" selected="0">
            <x v="9"/>
          </reference>
          <reference field="10" count="1" selected="0">
            <x v="62"/>
          </reference>
          <reference field="14" count="1">
            <x v="6"/>
          </reference>
          <reference field="18" count="1" selected="0">
            <x v="4"/>
          </reference>
        </references>
      </pivotArea>
    </format>
    <format dxfId="1845">
      <pivotArea dataOnly="0" labelOnly="1" outline="0" fieldPosition="0">
        <references count="4">
          <reference field="9" count="1" selected="0">
            <x v="9"/>
          </reference>
          <reference field="10" count="1" selected="0">
            <x v="62"/>
          </reference>
          <reference field="14" count="1">
            <x v="28"/>
          </reference>
          <reference field="18" count="1" selected="0">
            <x v="5"/>
          </reference>
        </references>
      </pivotArea>
    </format>
    <format dxfId="1844">
      <pivotArea dataOnly="0" labelOnly="1" outline="0" fieldPosition="0">
        <references count="4">
          <reference field="9" count="1" selected="0">
            <x v="9"/>
          </reference>
          <reference field="10" count="1" selected="0">
            <x v="62"/>
          </reference>
          <reference field="14" count="1">
            <x v="27"/>
          </reference>
          <reference field="18" count="1" selected="0">
            <x v="6"/>
          </reference>
        </references>
      </pivotArea>
    </format>
    <format dxfId="1843">
      <pivotArea dataOnly="0" labelOnly="1" outline="0" fieldPosition="0">
        <references count="4">
          <reference field="9" count="1" selected="0">
            <x v="9"/>
          </reference>
          <reference field="10" count="1" selected="0">
            <x v="62"/>
          </reference>
          <reference field="14" count="1">
            <x v="9"/>
          </reference>
          <reference field="18" count="1" selected="0">
            <x v="8"/>
          </reference>
        </references>
      </pivotArea>
    </format>
    <format dxfId="1842">
      <pivotArea dataOnly="0" labelOnly="1" outline="0" fieldPosition="0">
        <references count="4">
          <reference field="9" count="1" selected="0">
            <x v="9"/>
          </reference>
          <reference field="10" count="1" selected="0">
            <x v="62"/>
          </reference>
          <reference field="14" count="1">
            <x v="8"/>
          </reference>
          <reference field="18" count="1" selected="0">
            <x v="9"/>
          </reference>
        </references>
      </pivotArea>
    </format>
    <format dxfId="1841">
      <pivotArea dataOnly="0" labelOnly="1" outline="0" fieldPosition="0">
        <references count="4">
          <reference field="9" count="1" selected="0">
            <x v="9"/>
          </reference>
          <reference field="10" count="1" selected="0">
            <x v="62"/>
          </reference>
          <reference field="14" count="1">
            <x v="16"/>
          </reference>
          <reference field="18" count="1" selected="0">
            <x v="12"/>
          </reference>
        </references>
      </pivotArea>
    </format>
    <format dxfId="1840">
      <pivotArea dataOnly="0" labelOnly="1" outline="0" fieldPosition="0">
        <references count="4">
          <reference field="9" count="1" selected="0">
            <x v="9"/>
          </reference>
          <reference field="10" count="1" selected="0">
            <x v="62"/>
          </reference>
          <reference field="14" count="1">
            <x v="25"/>
          </reference>
          <reference field="18" count="1" selected="0">
            <x v="14"/>
          </reference>
        </references>
      </pivotArea>
    </format>
    <format dxfId="1839">
      <pivotArea dataOnly="0" labelOnly="1" outline="0" fieldPosition="0">
        <references count="4">
          <reference field="9" count="1" selected="0">
            <x v="9"/>
          </reference>
          <reference field="10" count="1" selected="0">
            <x v="62"/>
          </reference>
          <reference field="14" count="1">
            <x v="14"/>
          </reference>
          <reference field="18" count="1" selected="0">
            <x v="18"/>
          </reference>
        </references>
      </pivotArea>
    </format>
    <format dxfId="1838">
      <pivotArea dataOnly="0" labelOnly="1" outline="0" fieldPosition="0">
        <references count="4">
          <reference field="9" count="1" selected="0">
            <x v="9"/>
          </reference>
          <reference field="10" count="1" selected="0">
            <x v="62"/>
          </reference>
          <reference field="14" count="1">
            <x v="24"/>
          </reference>
          <reference field="18" count="1" selected="0">
            <x v="19"/>
          </reference>
        </references>
      </pivotArea>
    </format>
    <format dxfId="1837">
      <pivotArea dataOnly="0" labelOnly="1" outline="0" fieldPosition="0">
        <references count="4">
          <reference field="9" count="1" selected="0">
            <x v="9"/>
          </reference>
          <reference field="10" count="1" selected="0">
            <x v="62"/>
          </reference>
          <reference field="14" count="1">
            <x v="7"/>
          </reference>
          <reference field="18" count="1" selected="0">
            <x v="22"/>
          </reference>
        </references>
      </pivotArea>
    </format>
    <format dxfId="1836">
      <pivotArea dataOnly="0" labelOnly="1" outline="0" fieldPosition="0">
        <references count="4">
          <reference field="9" count="1" selected="0">
            <x v="9"/>
          </reference>
          <reference field="10" count="1" selected="0">
            <x v="62"/>
          </reference>
          <reference field="14" count="1">
            <x v="23"/>
          </reference>
          <reference field="18" count="1" selected="0">
            <x v="24"/>
          </reference>
        </references>
      </pivotArea>
    </format>
    <format dxfId="1835">
      <pivotArea dataOnly="0" labelOnly="1" outline="0" fieldPosition="0">
        <references count="4">
          <reference field="9" count="1" selected="0">
            <x v="9"/>
          </reference>
          <reference field="10" count="1" selected="0">
            <x v="62"/>
          </reference>
          <reference field="14" count="1">
            <x v="22"/>
          </reference>
          <reference field="18" count="1" selected="0">
            <x v="25"/>
          </reference>
        </references>
      </pivotArea>
    </format>
    <format dxfId="1834">
      <pivotArea dataOnly="0" labelOnly="1" outline="0" fieldPosition="0">
        <references count="4">
          <reference field="9" count="1" selected="0">
            <x v="9"/>
          </reference>
          <reference field="10" count="1" selected="0">
            <x v="62"/>
          </reference>
          <reference field="14" count="1">
            <x v="29"/>
          </reference>
          <reference field="18" count="1" selected="0">
            <x v="29"/>
          </reference>
        </references>
      </pivotArea>
    </format>
    <format dxfId="1833">
      <pivotArea dataOnly="0" labelOnly="1" outline="0" fieldPosition="0">
        <references count="4">
          <reference field="9" count="1" selected="0">
            <x v="9"/>
          </reference>
          <reference field="10" count="1" selected="0">
            <x v="62"/>
          </reference>
          <reference field="14" count="1">
            <x v="26"/>
          </reference>
          <reference field="18" count="1" selected="0">
            <x v="30"/>
          </reference>
        </references>
      </pivotArea>
    </format>
    <format dxfId="1832">
      <pivotArea dataOnly="0" labelOnly="1" outline="0" fieldPosition="0">
        <references count="4">
          <reference field="9" count="1" selected="0">
            <x v="9"/>
          </reference>
          <reference field="10" count="1" selected="0">
            <x v="62"/>
          </reference>
          <reference field="14" count="1">
            <x v="31"/>
          </reference>
          <reference field="18" count="1" selected="0">
            <x v="31"/>
          </reference>
        </references>
      </pivotArea>
    </format>
    <format dxfId="1831">
      <pivotArea dataOnly="0" labelOnly="1" outline="0" fieldPosition="0">
        <references count="4">
          <reference field="9" count="1" selected="0">
            <x v="10"/>
          </reference>
          <reference field="10" count="1" selected="0">
            <x v="10"/>
          </reference>
          <reference field="14" count="1">
            <x v="1"/>
          </reference>
          <reference field="18" count="1" selected="0">
            <x v="1"/>
          </reference>
        </references>
      </pivotArea>
    </format>
    <format dxfId="1830">
      <pivotArea dataOnly="0" labelOnly="1" outline="0" fieldPosition="0">
        <references count="4">
          <reference field="9" count="1" selected="0">
            <x v="10"/>
          </reference>
          <reference field="10" count="1" selected="0">
            <x v="10"/>
          </reference>
          <reference field="14" count="1">
            <x v="11"/>
          </reference>
          <reference field="18" count="1" selected="0">
            <x v="3"/>
          </reference>
        </references>
      </pivotArea>
    </format>
    <format dxfId="1829">
      <pivotArea dataOnly="0" labelOnly="1" outline="0" fieldPosition="0">
        <references count="4">
          <reference field="9" count="1" selected="0">
            <x v="10"/>
          </reference>
          <reference field="10" count="1" selected="0">
            <x v="10"/>
          </reference>
          <reference field="14" count="1">
            <x v="10"/>
          </reference>
          <reference field="18" count="1" selected="0">
            <x v="7"/>
          </reference>
        </references>
      </pivotArea>
    </format>
    <format dxfId="1828">
      <pivotArea dataOnly="0" labelOnly="1" outline="0" fieldPosition="0">
        <references count="4">
          <reference field="9" count="1" selected="0">
            <x v="10"/>
          </reference>
          <reference field="10" count="1" selected="0">
            <x v="10"/>
          </reference>
          <reference field="14" count="1">
            <x v="17"/>
          </reference>
          <reference field="18" count="1" selected="0">
            <x v="11"/>
          </reference>
        </references>
      </pivotArea>
    </format>
    <format dxfId="1827">
      <pivotArea dataOnly="0" labelOnly="1" outline="0" fieldPosition="0">
        <references count="4">
          <reference field="9" count="1" selected="0">
            <x v="10"/>
          </reference>
          <reference field="10" count="1" selected="0">
            <x v="10"/>
          </reference>
          <reference field="14" count="1">
            <x v="16"/>
          </reference>
          <reference field="18" count="1" selected="0">
            <x v="12"/>
          </reference>
        </references>
      </pivotArea>
    </format>
    <format dxfId="1826">
      <pivotArea dataOnly="0" labelOnly="1" outline="0" fieldPosition="0">
        <references count="4">
          <reference field="9" count="1" selected="0">
            <x v="10"/>
          </reference>
          <reference field="10" count="1" selected="0">
            <x v="10"/>
          </reference>
          <reference field="14" count="1">
            <x v="25"/>
          </reference>
          <reference field="18" count="1" selected="0">
            <x v="14"/>
          </reference>
        </references>
      </pivotArea>
    </format>
    <format dxfId="1825">
      <pivotArea dataOnly="0" labelOnly="1" outline="0" fieldPosition="0">
        <references count="4">
          <reference field="9" count="1" selected="0">
            <x v="10"/>
          </reference>
          <reference field="10" count="1" selected="0">
            <x v="10"/>
          </reference>
          <reference field="14" count="1">
            <x v="15"/>
          </reference>
          <reference field="18" count="1" selected="0">
            <x v="15"/>
          </reference>
        </references>
      </pivotArea>
    </format>
    <format dxfId="1824">
      <pivotArea dataOnly="0" labelOnly="1" outline="0" fieldPosition="0">
        <references count="4">
          <reference field="9" count="1" selected="0">
            <x v="10"/>
          </reference>
          <reference field="10" count="1" selected="0">
            <x v="10"/>
          </reference>
          <reference field="14" count="1">
            <x v="12"/>
          </reference>
          <reference field="18" count="1" selected="0">
            <x v="21"/>
          </reference>
        </references>
      </pivotArea>
    </format>
    <format dxfId="1823">
      <pivotArea dataOnly="0" labelOnly="1" outline="0" fieldPosition="0">
        <references count="4">
          <reference field="9" count="1" selected="0">
            <x v="10"/>
          </reference>
          <reference field="10" count="1" selected="0">
            <x v="10"/>
          </reference>
          <reference field="14" count="1">
            <x v="7"/>
          </reference>
          <reference field="18" count="1" selected="0">
            <x v="22"/>
          </reference>
        </references>
      </pivotArea>
    </format>
    <format dxfId="1822">
      <pivotArea dataOnly="0" labelOnly="1" outline="0" fieldPosition="0">
        <references count="4">
          <reference field="9" count="1" selected="0">
            <x v="10"/>
          </reference>
          <reference field="10" count="1" selected="0">
            <x v="10"/>
          </reference>
          <reference field="14" count="1">
            <x v="5"/>
          </reference>
          <reference field="18" count="1" selected="0">
            <x v="28"/>
          </reference>
        </references>
      </pivotArea>
    </format>
    <format dxfId="1821">
      <pivotArea dataOnly="0" labelOnly="1" outline="0" fieldPosition="0">
        <references count="4">
          <reference field="9" count="1" selected="0">
            <x v="10"/>
          </reference>
          <reference field="10" count="1" selected="0">
            <x v="10"/>
          </reference>
          <reference field="14" count="1">
            <x v="29"/>
          </reference>
          <reference field="18" count="1" selected="0">
            <x v="29"/>
          </reference>
        </references>
      </pivotArea>
    </format>
    <format dxfId="1820">
      <pivotArea dataOnly="0" labelOnly="1" outline="0" fieldPosition="0">
        <references count="4">
          <reference field="9" count="1" selected="0">
            <x v="11"/>
          </reference>
          <reference field="10" count="1" selected="0">
            <x v="14"/>
          </reference>
          <reference field="14" count="1">
            <x v="11"/>
          </reference>
          <reference field="18" count="1" selected="0">
            <x v="3"/>
          </reference>
        </references>
      </pivotArea>
    </format>
    <format dxfId="1819">
      <pivotArea dataOnly="0" labelOnly="1" outline="0" fieldPosition="0">
        <references count="4">
          <reference field="9" count="1" selected="0">
            <x v="12"/>
          </reference>
          <reference field="10" count="1" selected="0">
            <x v="18"/>
          </reference>
          <reference field="14" count="1">
            <x v="4"/>
          </reference>
          <reference field="18" count="1" selected="0">
            <x v="0"/>
          </reference>
        </references>
      </pivotArea>
    </format>
    <format dxfId="1818">
      <pivotArea dataOnly="0" labelOnly="1" outline="0" fieldPosition="0">
        <references count="4">
          <reference field="9" count="1" selected="0">
            <x v="12"/>
          </reference>
          <reference field="10" count="1" selected="0">
            <x v="18"/>
          </reference>
          <reference field="14" count="1">
            <x v="1"/>
          </reference>
          <reference field="18" count="1" selected="0">
            <x v="1"/>
          </reference>
        </references>
      </pivotArea>
    </format>
    <format dxfId="1817">
      <pivotArea dataOnly="0" labelOnly="1" outline="0" fieldPosition="0">
        <references count="4">
          <reference field="9" count="1" selected="0">
            <x v="12"/>
          </reference>
          <reference field="10" count="1" selected="0">
            <x v="18"/>
          </reference>
          <reference field="14" count="1">
            <x v="11"/>
          </reference>
          <reference field="18" count="1" selected="0">
            <x v="3"/>
          </reference>
        </references>
      </pivotArea>
    </format>
    <format dxfId="1816">
      <pivotArea dataOnly="0" labelOnly="1" outline="0" fieldPosition="0">
        <references count="4">
          <reference field="9" count="1" selected="0">
            <x v="12"/>
          </reference>
          <reference field="10" count="1" selected="0">
            <x v="18"/>
          </reference>
          <reference field="14" count="1">
            <x v="10"/>
          </reference>
          <reference field="18" count="1" selected="0">
            <x v="7"/>
          </reference>
        </references>
      </pivotArea>
    </format>
    <format dxfId="1815">
      <pivotArea dataOnly="0" labelOnly="1" outline="0" fieldPosition="0">
        <references count="4">
          <reference field="9" count="1" selected="0">
            <x v="12"/>
          </reference>
          <reference field="10" count="1" selected="0">
            <x v="18"/>
          </reference>
          <reference field="14" count="1">
            <x v="9"/>
          </reference>
          <reference field="18" count="1" selected="0">
            <x v="8"/>
          </reference>
        </references>
      </pivotArea>
    </format>
    <format dxfId="1814">
      <pivotArea dataOnly="0" labelOnly="1" outline="0" fieldPosition="0">
        <references count="4">
          <reference field="9" count="1" selected="0">
            <x v="12"/>
          </reference>
          <reference field="10" count="1" selected="0">
            <x v="18"/>
          </reference>
          <reference field="14" count="1">
            <x v="8"/>
          </reference>
          <reference field="18" count="1" selected="0">
            <x v="9"/>
          </reference>
        </references>
      </pivotArea>
    </format>
    <format dxfId="1813">
      <pivotArea dataOnly="0" labelOnly="1" outline="0" fieldPosition="0">
        <references count="4">
          <reference field="9" count="1" selected="0">
            <x v="12"/>
          </reference>
          <reference field="10" count="1" selected="0">
            <x v="18"/>
          </reference>
          <reference field="14" count="1">
            <x v="17"/>
          </reference>
          <reference field="18" count="1" selected="0">
            <x v="11"/>
          </reference>
        </references>
      </pivotArea>
    </format>
    <format dxfId="1812">
      <pivotArea dataOnly="0" labelOnly="1" outline="0" fieldPosition="0">
        <references count="4">
          <reference field="9" count="1" selected="0">
            <x v="12"/>
          </reference>
          <reference field="10" count="1" selected="0">
            <x v="18"/>
          </reference>
          <reference field="14" count="1">
            <x v="16"/>
          </reference>
          <reference field="18" count="1" selected="0">
            <x v="12"/>
          </reference>
        </references>
      </pivotArea>
    </format>
    <format dxfId="1811">
      <pivotArea dataOnly="0" labelOnly="1" outline="0" fieldPosition="0">
        <references count="4">
          <reference field="9" count="1" selected="0">
            <x v="12"/>
          </reference>
          <reference field="10" count="1" selected="0">
            <x v="18"/>
          </reference>
          <reference field="14" count="1">
            <x v="18"/>
          </reference>
          <reference field="18" count="1" selected="0">
            <x v="13"/>
          </reference>
        </references>
      </pivotArea>
    </format>
    <format dxfId="1810">
      <pivotArea dataOnly="0" labelOnly="1" outline="0" fieldPosition="0">
        <references count="4">
          <reference field="9" count="1" selected="0">
            <x v="12"/>
          </reference>
          <reference field="10" count="1" selected="0">
            <x v="18"/>
          </reference>
          <reference field="14" count="1">
            <x v="25"/>
          </reference>
          <reference field="18" count="1" selected="0">
            <x v="14"/>
          </reference>
        </references>
      </pivotArea>
    </format>
    <format dxfId="1809">
      <pivotArea dataOnly="0" labelOnly="1" outline="0" fieldPosition="0">
        <references count="4">
          <reference field="9" count="1" selected="0">
            <x v="12"/>
          </reference>
          <reference field="10" count="1" selected="0">
            <x v="18"/>
          </reference>
          <reference field="14" count="1">
            <x v="15"/>
          </reference>
          <reference field="18" count="1" selected="0">
            <x v="15"/>
          </reference>
        </references>
      </pivotArea>
    </format>
    <format dxfId="1808">
      <pivotArea dataOnly="0" labelOnly="1" outline="0" fieldPosition="0">
        <references count="4">
          <reference field="9" count="1" selected="0">
            <x v="12"/>
          </reference>
          <reference field="10" count="1" selected="0">
            <x v="18"/>
          </reference>
          <reference field="14" count="1">
            <x v="19"/>
          </reference>
          <reference field="18" count="1" selected="0">
            <x v="16"/>
          </reference>
        </references>
      </pivotArea>
    </format>
    <format dxfId="1807">
      <pivotArea dataOnly="0" labelOnly="1" outline="0" fieldPosition="0">
        <references count="4">
          <reference field="9" count="1" selected="0">
            <x v="12"/>
          </reference>
          <reference field="10" count="1" selected="0">
            <x v="18"/>
          </reference>
          <reference field="14" count="1">
            <x v="14"/>
          </reference>
          <reference field="18" count="1" selected="0">
            <x v="18"/>
          </reference>
        </references>
      </pivotArea>
    </format>
    <format dxfId="1806">
      <pivotArea dataOnly="0" labelOnly="1" outline="0" fieldPosition="0">
        <references count="4">
          <reference field="9" count="1" selected="0">
            <x v="12"/>
          </reference>
          <reference field="10" count="1" selected="0">
            <x v="18"/>
          </reference>
          <reference field="14" count="1">
            <x v="7"/>
          </reference>
          <reference field="18" count="1" selected="0">
            <x v="22"/>
          </reference>
        </references>
      </pivotArea>
    </format>
    <format dxfId="1805">
      <pivotArea dataOnly="0" labelOnly="1" outline="0" fieldPosition="0">
        <references count="4">
          <reference field="9" count="1" selected="0">
            <x v="12"/>
          </reference>
          <reference field="10" count="1" selected="0">
            <x v="18"/>
          </reference>
          <reference field="14" count="1">
            <x v="21"/>
          </reference>
          <reference field="18" count="1" selected="0">
            <x v="27"/>
          </reference>
        </references>
      </pivotArea>
    </format>
    <format dxfId="1804">
      <pivotArea dataOnly="0" labelOnly="1" outline="0" fieldPosition="0">
        <references count="4">
          <reference field="9" count="1" selected="0">
            <x v="12"/>
          </reference>
          <reference field="10" count="1" selected="0">
            <x v="18"/>
          </reference>
          <reference field="14" count="1">
            <x v="5"/>
          </reference>
          <reference field="18" count="1" selected="0">
            <x v="28"/>
          </reference>
        </references>
      </pivotArea>
    </format>
    <format dxfId="1803">
      <pivotArea dataOnly="0" labelOnly="1" outline="0" fieldPosition="0">
        <references count="4">
          <reference field="9" count="1" selected="0">
            <x v="12"/>
          </reference>
          <reference field="10" count="1" selected="0">
            <x v="18"/>
          </reference>
          <reference field="14" count="1">
            <x v="29"/>
          </reference>
          <reference field="18" count="1" selected="0">
            <x v="29"/>
          </reference>
        </references>
      </pivotArea>
    </format>
    <format dxfId="1802">
      <pivotArea dataOnly="0" labelOnly="1" outline="0" fieldPosition="0">
        <references count="4">
          <reference field="9" count="1" selected="0">
            <x v="12"/>
          </reference>
          <reference field="10" count="1" selected="0">
            <x v="18"/>
          </reference>
          <reference field="14" count="1">
            <x v="26"/>
          </reference>
          <reference field="18" count="1" selected="0">
            <x v="30"/>
          </reference>
        </references>
      </pivotArea>
    </format>
    <format dxfId="1801">
      <pivotArea dataOnly="0" labelOnly="1" outline="0" fieldPosition="0">
        <references count="4">
          <reference field="9" count="1" selected="0">
            <x v="13"/>
          </reference>
          <reference field="10" count="1" selected="0">
            <x v="22"/>
          </reference>
          <reference field="14" count="1">
            <x v="27"/>
          </reference>
          <reference field="18" count="1" selected="0">
            <x v="6"/>
          </reference>
        </references>
      </pivotArea>
    </format>
    <format dxfId="1800">
      <pivotArea dataOnly="0" labelOnly="1" outline="0" fieldPosition="0">
        <references count="4">
          <reference field="9" count="1" selected="0">
            <x v="14"/>
          </reference>
          <reference field="10" count="1" selected="0">
            <x v="26"/>
          </reference>
          <reference field="14" count="1">
            <x v="19"/>
          </reference>
          <reference field="18" count="1" selected="0">
            <x v="16"/>
          </reference>
        </references>
      </pivotArea>
    </format>
    <format dxfId="1799">
      <pivotArea dataOnly="0" labelOnly="1" outline="0" fieldPosition="0">
        <references count="4">
          <reference field="9" count="1" selected="0">
            <x v="14"/>
          </reference>
          <reference field="10" count="1" selected="0">
            <x v="26"/>
          </reference>
          <reference field="14" count="1">
            <x v="26"/>
          </reference>
          <reference field="18" count="1" selected="0">
            <x v="30"/>
          </reference>
        </references>
      </pivotArea>
    </format>
    <format dxfId="1798">
      <pivotArea dataOnly="0" labelOnly="1" outline="0" fieldPosition="0">
        <references count="4">
          <reference field="9" count="1" selected="0">
            <x v="15"/>
          </reference>
          <reference field="10" count="1" selected="0">
            <x v="30"/>
          </reference>
          <reference field="14" count="1">
            <x v="1"/>
          </reference>
          <reference field="18" count="1" selected="0">
            <x v="1"/>
          </reference>
        </references>
      </pivotArea>
    </format>
    <format dxfId="1797">
      <pivotArea dataOnly="0" labelOnly="1" outline="0" fieldPosition="0">
        <references count="4">
          <reference field="9" count="1" selected="0">
            <x v="15"/>
          </reference>
          <reference field="10" count="1" selected="0">
            <x v="30"/>
          </reference>
          <reference field="14" count="1">
            <x v="11"/>
          </reference>
          <reference field="18" count="1" selected="0">
            <x v="3"/>
          </reference>
        </references>
      </pivotArea>
    </format>
    <format dxfId="1796">
      <pivotArea dataOnly="0" labelOnly="1" outline="0" fieldPosition="0">
        <references count="4">
          <reference field="9" count="1" selected="0">
            <x v="15"/>
          </reference>
          <reference field="10" count="1" selected="0">
            <x v="30"/>
          </reference>
          <reference field="14" count="1">
            <x v="28"/>
          </reference>
          <reference field="18" count="1" selected="0">
            <x v="5"/>
          </reference>
        </references>
      </pivotArea>
    </format>
    <format dxfId="1795">
      <pivotArea dataOnly="0" labelOnly="1" outline="0" fieldPosition="0">
        <references count="4">
          <reference field="9" count="1" selected="0">
            <x v="15"/>
          </reference>
          <reference field="10" count="1" selected="0">
            <x v="30"/>
          </reference>
          <reference field="14" count="1">
            <x v="10"/>
          </reference>
          <reference field="18" count="1" selected="0">
            <x v="7"/>
          </reference>
        </references>
      </pivotArea>
    </format>
    <format dxfId="1794">
      <pivotArea dataOnly="0" labelOnly="1" outline="0" fieldPosition="0">
        <references count="4">
          <reference field="9" count="1" selected="0">
            <x v="15"/>
          </reference>
          <reference field="10" count="1" selected="0">
            <x v="30"/>
          </reference>
          <reference field="14" count="1">
            <x v="16"/>
          </reference>
          <reference field="18" count="1" selected="0">
            <x v="12"/>
          </reference>
        </references>
      </pivotArea>
    </format>
    <format dxfId="1793">
      <pivotArea dataOnly="0" labelOnly="1" outline="0" fieldPosition="0">
        <references count="4">
          <reference field="9" count="1" selected="0">
            <x v="15"/>
          </reference>
          <reference field="10" count="1" selected="0">
            <x v="30"/>
          </reference>
          <reference field="14" count="1">
            <x v="25"/>
          </reference>
          <reference field="18" count="1" selected="0">
            <x v="14"/>
          </reference>
        </references>
      </pivotArea>
    </format>
    <format dxfId="1792">
      <pivotArea dataOnly="0" labelOnly="1" outline="0" fieldPosition="0">
        <references count="4">
          <reference field="9" count="1" selected="0">
            <x v="15"/>
          </reference>
          <reference field="10" count="1" selected="0">
            <x v="30"/>
          </reference>
          <reference field="14" count="1">
            <x v="15"/>
          </reference>
          <reference field="18" count="1" selected="0">
            <x v="15"/>
          </reference>
        </references>
      </pivotArea>
    </format>
    <format dxfId="1791">
      <pivotArea dataOnly="0" labelOnly="1" outline="0" fieldPosition="0">
        <references count="4">
          <reference field="9" count="1" selected="0">
            <x v="15"/>
          </reference>
          <reference field="10" count="1" selected="0">
            <x v="30"/>
          </reference>
          <reference field="14" count="1">
            <x v="19"/>
          </reference>
          <reference field="18" count="1" selected="0">
            <x v="16"/>
          </reference>
        </references>
      </pivotArea>
    </format>
    <format dxfId="1790">
      <pivotArea dataOnly="0" labelOnly="1" outline="0" fieldPosition="0">
        <references count="4">
          <reference field="9" count="1" selected="0">
            <x v="15"/>
          </reference>
          <reference field="10" count="1" selected="0">
            <x v="30"/>
          </reference>
          <reference field="14" count="1">
            <x v="7"/>
          </reference>
          <reference field="18" count="1" selected="0">
            <x v="22"/>
          </reference>
        </references>
      </pivotArea>
    </format>
    <format dxfId="1789">
      <pivotArea dataOnly="0" labelOnly="1" outline="0" fieldPosition="0">
        <references count="4">
          <reference field="9" count="1" selected="0">
            <x v="15"/>
          </reference>
          <reference field="10" count="1" selected="0">
            <x v="30"/>
          </reference>
          <reference field="14" count="1">
            <x v="5"/>
          </reference>
          <reference field="18" count="1" selected="0">
            <x v="28"/>
          </reference>
        </references>
      </pivotArea>
    </format>
    <format dxfId="1788">
      <pivotArea dataOnly="0" labelOnly="1" outline="0" fieldPosition="0">
        <references count="4">
          <reference field="9" count="1" selected="0">
            <x v="15"/>
          </reference>
          <reference field="10" count="1" selected="0">
            <x v="30"/>
          </reference>
          <reference field="14" count="1">
            <x v="29"/>
          </reference>
          <reference field="18" count="1" selected="0">
            <x v="29"/>
          </reference>
        </references>
      </pivotArea>
    </format>
    <format dxfId="1787">
      <pivotArea dataOnly="0" labelOnly="1" outline="0" fieldPosition="0">
        <references count="4">
          <reference field="9" count="1" selected="0">
            <x v="16"/>
          </reference>
          <reference field="10" count="1" selected="0">
            <x v="34"/>
          </reference>
          <reference field="14" count="1">
            <x v="7"/>
          </reference>
          <reference field="18" count="1" selected="0">
            <x v="22"/>
          </reference>
        </references>
      </pivotArea>
    </format>
    <format dxfId="1786">
      <pivotArea dataOnly="0" labelOnly="1" outline="0" fieldPosition="0">
        <references count="4">
          <reference field="9" count="1" selected="0">
            <x v="17"/>
          </reference>
          <reference field="10" count="1" selected="0">
            <x v="38"/>
          </reference>
          <reference field="14" count="1">
            <x v="17"/>
          </reference>
          <reference field="18" count="1" selected="0">
            <x v="11"/>
          </reference>
        </references>
      </pivotArea>
    </format>
    <format dxfId="1785">
      <pivotArea dataOnly="0" labelOnly="1" outline="0" fieldPosition="0">
        <references count="4">
          <reference field="9" count="1" selected="0">
            <x v="17"/>
          </reference>
          <reference field="10" count="1" selected="0">
            <x v="38"/>
          </reference>
          <reference field="14" count="1">
            <x v="18"/>
          </reference>
          <reference field="18" count="1" selected="0">
            <x v="13"/>
          </reference>
        </references>
      </pivotArea>
    </format>
    <format dxfId="1784">
      <pivotArea dataOnly="0" labelOnly="1" outline="0" fieldPosition="0">
        <references count="4">
          <reference field="9" count="1" selected="0">
            <x v="17"/>
          </reference>
          <reference field="10" count="1" selected="0">
            <x v="38"/>
          </reference>
          <reference field="14" count="1">
            <x v="29"/>
          </reference>
          <reference field="18" count="1" selected="0">
            <x v="29"/>
          </reference>
        </references>
      </pivotArea>
    </format>
    <format dxfId="1783">
      <pivotArea dataOnly="0" labelOnly="1" outline="0" fieldPosition="0">
        <references count="4">
          <reference field="9" count="1" selected="0">
            <x v="18"/>
          </reference>
          <reference field="10" count="1" selected="0">
            <x v="42"/>
          </reference>
          <reference field="14" count="1">
            <x v="1"/>
          </reference>
          <reference field="18" count="1" selected="0">
            <x v="1"/>
          </reference>
        </references>
      </pivotArea>
    </format>
    <format dxfId="1782">
      <pivotArea dataOnly="0" labelOnly="1" outline="0" fieldPosition="0">
        <references count="4">
          <reference field="9" count="1" selected="0">
            <x v="18"/>
          </reference>
          <reference field="10" count="1" selected="0">
            <x v="42"/>
          </reference>
          <reference field="14" count="1">
            <x v="11"/>
          </reference>
          <reference field="18" count="1" selected="0">
            <x v="3"/>
          </reference>
        </references>
      </pivotArea>
    </format>
    <format dxfId="1781">
      <pivotArea dataOnly="0" labelOnly="1" outline="0" fieldPosition="0">
        <references count="4">
          <reference field="9" count="1" selected="0">
            <x v="18"/>
          </reference>
          <reference field="10" count="1" selected="0">
            <x v="42"/>
          </reference>
          <reference field="14" count="1">
            <x v="28"/>
          </reference>
          <reference field="18" count="1" selected="0">
            <x v="5"/>
          </reference>
        </references>
      </pivotArea>
    </format>
    <format dxfId="1780">
      <pivotArea dataOnly="0" labelOnly="1" outline="0" fieldPosition="0">
        <references count="4">
          <reference field="9" count="1" selected="0">
            <x v="18"/>
          </reference>
          <reference field="10" count="1" selected="0">
            <x v="42"/>
          </reference>
          <reference field="14" count="1">
            <x v="10"/>
          </reference>
          <reference field="18" count="1" selected="0">
            <x v="7"/>
          </reference>
        </references>
      </pivotArea>
    </format>
    <format dxfId="1779">
      <pivotArea dataOnly="0" labelOnly="1" outline="0" fieldPosition="0">
        <references count="4">
          <reference field="9" count="1" selected="0">
            <x v="18"/>
          </reference>
          <reference field="10" count="1" selected="0">
            <x v="42"/>
          </reference>
          <reference field="14" count="1">
            <x v="9"/>
          </reference>
          <reference field="18" count="1" selected="0">
            <x v="8"/>
          </reference>
        </references>
      </pivotArea>
    </format>
    <format dxfId="1778">
      <pivotArea dataOnly="0" labelOnly="1" outline="0" fieldPosition="0">
        <references count="4">
          <reference field="9" count="1" selected="0">
            <x v="18"/>
          </reference>
          <reference field="10" count="1" selected="0">
            <x v="42"/>
          </reference>
          <reference field="14" count="1">
            <x v="8"/>
          </reference>
          <reference field="18" count="1" selected="0">
            <x v="9"/>
          </reference>
        </references>
      </pivotArea>
    </format>
    <format dxfId="1777">
      <pivotArea dataOnly="0" labelOnly="1" outline="0" fieldPosition="0">
        <references count="4">
          <reference field="9" count="1" selected="0">
            <x v="18"/>
          </reference>
          <reference field="10" count="1" selected="0">
            <x v="42"/>
          </reference>
          <reference field="14" count="1">
            <x v="16"/>
          </reference>
          <reference field="18" count="1" selected="0">
            <x v="12"/>
          </reference>
        </references>
      </pivotArea>
    </format>
    <format dxfId="1776">
      <pivotArea dataOnly="0" labelOnly="1" outline="0" fieldPosition="0">
        <references count="4">
          <reference field="9" count="1" selected="0">
            <x v="18"/>
          </reference>
          <reference field="10" count="1" selected="0">
            <x v="42"/>
          </reference>
          <reference field="14" count="1">
            <x v="25"/>
          </reference>
          <reference field="18" count="1" selected="0">
            <x v="14"/>
          </reference>
        </references>
      </pivotArea>
    </format>
    <format dxfId="1775">
      <pivotArea dataOnly="0" labelOnly="1" outline="0" fieldPosition="0">
        <references count="4">
          <reference field="9" count="1" selected="0">
            <x v="18"/>
          </reference>
          <reference field="10" count="1" selected="0">
            <x v="42"/>
          </reference>
          <reference field="14" count="1">
            <x v="15"/>
          </reference>
          <reference field="18" count="1" selected="0">
            <x v="15"/>
          </reference>
        </references>
      </pivotArea>
    </format>
    <format dxfId="1774">
      <pivotArea dataOnly="0" labelOnly="1" outline="0" fieldPosition="0">
        <references count="4">
          <reference field="9" count="1" selected="0">
            <x v="18"/>
          </reference>
          <reference field="10" count="1" selected="0">
            <x v="42"/>
          </reference>
          <reference field="14" count="1">
            <x v="5"/>
          </reference>
          <reference field="18" count="1" selected="0">
            <x v="28"/>
          </reference>
        </references>
      </pivotArea>
    </format>
    <format dxfId="1773">
      <pivotArea dataOnly="0" labelOnly="1" outline="0" fieldPosition="0">
        <references count="4">
          <reference field="9" count="1" selected="0">
            <x v="19"/>
          </reference>
          <reference field="10" count="1" selected="0">
            <x v="46"/>
          </reference>
          <reference field="14" count="1">
            <x v="27"/>
          </reference>
          <reference field="18" count="1" selected="0">
            <x v="6"/>
          </reference>
        </references>
      </pivotArea>
    </format>
    <format dxfId="1772">
      <pivotArea dataOnly="0" labelOnly="1" outline="0" fieldPosition="0">
        <references count="4">
          <reference field="9" count="1" selected="0">
            <x v="19"/>
          </reference>
          <reference field="10" count="1" selected="0">
            <x v="46"/>
          </reference>
          <reference field="14" count="1">
            <x v="7"/>
          </reference>
          <reference field="18" count="1" selected="0">
            <x v="22"/>
          </reference>
        </references>
      </pivotArea>
    </format>
    <format dxfId="1771">
      <pivotArea dataOnly="0" labelOnly="1" outline="0" fieldPosition="0">
        <references count="4">
          <reference field="9" count="1" selected="0">
            <x v="20"/>
          </reference>
          <reference field="10" count="1" selected="0">
            <x v="50"/>
          </reference>
          <reference field="14" count="1">
            <x v="27"/>
          </reference>
          <reference field="18" count="1" selected="0">
            <x v="6"/>
          </reference>
        </references>
      </pivotArea>
    </format>
    <format dxfId="1770">
      <pivotArea dataOnly="0" labelOnly="1" outline="0" fieldPosition="0">
        <references count="4">
          <reference field="9" count="1" selected="0">
            <x v="21"/>
          </reference>
          <reference field="10" count="1" selected="0">
            <x v="11"/>
          </reference>
          <reference field="14" count="1">
            <x v="4"/>
          </reference>
          <reference field="18" count="1" selected="0">
            <x v="0"/>
          </reference>
        </references>
      </pivotArea>
    </format>
    <format dxfId="1769">
      <pivotArea dataOnly="0" labelOnly="1" outline="0" fieldPosition="0">
        <references count="4">
          <reference field="9" count="1" selected="0">
            <x v="21"/>
          </reference>
          <reference field="10" count="1" selected="0">
            <x v="11"/>
          </reference>
          <reference field="14" count="1">
            <x v="1"/>
          </reference>
          <reference field="18" count="1" selected="0">
            <x v="1"/>
          </reference>
        </references>
      </pivotArea>
    </format>
    <format dxfId="1768">
      <pivotArea dataOnly="0" labelOnly="1" outline="0" fieldPosition="0">
        <references count="4">
          <reference field="9" count="1" selected="0">
            <x v="21"/>
          </reference>
          <reference field="10" count="1" selected="0">
            <x v="11"/>
          </reference>
          <reference field="14" count="1">
            <x v="11"/>
          </reference>
          <reference field="18" count="1" selected="0">
            <x v="3"/>
          </reference>
        </references>
      </pivotArea>
    </format>
    <format dxfId="1767">
      <pivotArea dataOnly="0" labelOnly="1" outline="0" fieldPosition="0">
        <references count="4">
          <reference field="9" count="1" selected="0">
            <x v="21"/>
          </reference>
          <reference field="10" count="1" selected="0">
            <x v="11"/>
          </reference>
          <reference field="14" count="1">
            <x v="10"/>
          </reference>
          <reference field="18" count="1" selected="0">
            <x v="7"/>
          </reference>
        </references>
      </pivotArea>
    </format>
    <format dxfId="1766">
      <pivotArea dataOnly="0" labelOnly="1" outline="0" fieldPosition="0">
        <references count="4">
          <reference field="9" count="1" selected="0">
            <x v="21"/>
          </reference>
          <reference field="10" count="1" selected="0">
            <x v="11"/>
          </reference>
          <reference field="14" count="1">
            <x v="8"/>
          </reference>
          <reference field="18" count="1" selected="0">
            <x v="9"/>
          </reference>
        </references>
      </pivotArea>
    </format>
    <format dxfId="1765">
      <pivotArea dataOnly="0" labelOnly="1" outline="0" fieldPosition="0">
        <references count="4">
          <reference field="9" count="1" selected="0">
            <x v="21"/>
          </reference>
          <reference field="10" count="1" selected="0">
            <x v="11"/>
          </reference>
          <reference field="14" count="1">
            <x v="16"/>
          </reference>
          <reference field="18" count="1" selected="0">
            <x v="12"/>
          </reference>
        </references>
      </pivotArea>
    </format>
    <format dxfId="1764">
      <pivotArea dataOnly="0" labelOnly="1" outline="0" fieldPosition="0">
        <references count="4">
          <reference field="9" count="1" selected="0">
            <x v="21"/>
          </reference>
          <reference field="10" count="1" selected="0">
            <x v="11"/>
          </reference>
          <reference field="14" count="1">
            <x v="25"/>
          </reference>
          <reference field="18" count="1" selected="0">
            <x v="14"/>
          </reference>
        </references>
      </pivotArea>
    </format>
    <format dxfId="1763">
      <pivotArea dataOnly="0" labelOnly="1" outline="0" fieldPosition="0">
        <references count="4">
          <reference field="9" count="1" selected="0">
            <x v="21"/>
          </reference>
          <reference field="10" count="1" selected="0">
            <x v="11"/>
          </reference>
          <reference field="14" count="1">
            <x v="15"/>
          </reference>
          <reference field="18" count="1" selected="0">
            <x v="15"/>
          </reference>
        </references>
      </pivotArea>
    </format>
    <format dxfId="1762">
      <pivotArea dataOnly="0" labelOnly="1" outline="0" fieldPosition="0">
        <references count="4">
          <reference field="9" count="1" selected="0">
            <x v="21"/>
          </reference>
          <reference field="10" count="1" selected="0">
            <x v="11"/>
          </reference>
          <reference field="14" count="1">
            <x v="5"/>
          </reference>
          <reference field="18" count="1" selected="0">
            <x v="28"/>
          </reference>
        </references>
      </pivotArea>
    </format>
    <format dxfId="1761">
      <pivotArea dataOnly="0" labelOnly="1" outline="0" fieldPosition="0">
        <references count="4">
          <reference field="9" count="1" selected="0">
            <x v="21"/>
          </reference>
          <reference field="10" count="1" selected="0">
            <x v="11"/>
          </reference>
          <reference field="14" count="1">
            <x v="29"/>
          </reference>
          <reference field="18" count="1" selected="0">
            <x v="29"/>
          </reference>
        </references>
      </pivotArea>
    </format>
    <format dxfId="1760">
      <pivotArea dataOnly="0" labelOnly="1" outline="0" fieldPosition="0">
        <references count="4">
          <reference field="9" count="1" selected="0">
            <x v="22"/>
          </reference>
          <reference field="10" count="1" selected="0">
            <x v="15"/>
          </reference>
          <reference field="14" count="1">
            <x v="11"/>
          </reference>
          <reference field="18" count="1" selected="0">
            <x v="3"/>
          </reference>
        </references>
      </pivotArea>
    </format>
    <format dxfId="1759">
      <pivotArea dataOnly="0" labelOnly="1" outline="0" fieldPosition="0">
        <references count="4">
          <reference field="9" count="1" selected="0">
            <x v="23"/>
          </reference>
          <reference field="10" count="1" selected="0">
            <x v="19"/>
          </reference>
          <reference field="14" count="1">
            <x v="4"/>
          </reference>
          <reference field="18" count="1" selected="0">
            <x v="0"/>
          </reference>
        </references>
      </pivotArea>
    </format>
    <format dxfId="1758">
      <pivotArea dataOnly="0" labelOnly="1" outline="0" fieldPosition="0">
        <references count="4">
          <reference field="9" count="1" selected="0">
            <x v="23"/>
          </reference>
          <reference field="10" count="1" selected="0">
            <x v="19"/>
          </reference>
          <reference field="14" count="1">
            <x v="10"/>
          </reference>
          <reference field="18" count="1" selected="0">
            <x v="7"/>
          </reference>
        </references>
      </pivotArea>
    </format>
    <format dxfId="1757">
      <pivotArea dataOnly="0" labelOnly="1" outline="0" fieldPosition="0">
        <references count="4">
          <reference field="9" count="1" selected="0">
            <x v="23"/>
          </reference>
          <reference field="10" count="1" selected="0">
            <x v="19"/>
          </reference>
          <reference field="14" count="1">
            <x v="9"/>
          </reference>
          <reference field="18" count="1" selected="0">
            <x v="8"/>
          </reference>
        </references>
      </pivotArea>
    </format>
    <format dxfId="1756">
      <pivotArea dataOnly="0" labelOnly="1" outline="0" fieldPosition="0">
        <references count="4">
          <reference field="9" count="1" selected="0">
            <x v="23"/>
          </reference>
          <reference field="10" count="1" selected="0">
            <x v="19"/>
          </reference>
          <reference field="14" count="1">
            <x v="8"/>
          </reference>
          <reference field="18" count="1" selected="0">
            <x v="9"/>
          </reference>
        </references>
      </pivotArea>
    </format>
    <format dxfId="1755">
      <pivotArea dataOnly="0" labelOnly="1" outline="0" fieldPosition="0">
        <references count="4">
          <reference field="9" count="1" selected="0">
            <x v="23"/>
          </reference>
          <reference field="10" count="1" selected="0">
            <x v="19"/>
          </reference>
          <reference field="14" count="1">
            <x v="17"/>
          </reference>
          <reference field="18" count="1" selected="0">
            <x v="11"/>
          </reference>
        </references>
      </pivotArea>
    </format>
    <format dxfId="1754">
      <pivotArea dataOnly="0" labelOnly="1" outline="0" fieldPosition="0">
        <references count="4">
          <reference field="9" count="1" selected="0">
            <x v="23"/>
          </reference>
          <reference field="10" count="1" selected="0">
            <x v="19"/>
          </reference>
          <reference field="14" count="1">
            <x v="16"/>
          </reference>
          <reference field="18" count="1" selected="0">
            <x v="12"/>
          </reference>
        </references>
      </pivotArea>
    </format>
    <format dxfId="1753">
      <pivotArea dataOnly="0" labelOnly="1" outline="0" fieldPosition="0">
        <references count="4">
          <reference field="9" count="1" selected="0">
            <x v="23"/>
          </reference>
          <reference field="10" count="1" selected="0">
            <x v="19"/>
          </reference>
          <reference field="14" count="1">
            <x v="18"/>
          </reference>
          <reference field="18" count="1" selected="0">
            <x v="13"/>
          </reference>
        </references>
      </pivotArea>
    </format>
    <format dxfId="1752">
      <pivotArea dataOnly="0" labelOnly="1" outline="0" fieldPosition="0">
        <references count="4">
          <reference field="9" count="1" selected="0">
            <x v="23"/>
          </reference>
          <reference field="10" count="1" selected="0">
            <x v="19"/>
          </reference>
          <reference field="14" count="1">
            <x v="25"/>
          </reference>
          <reference field="18" count="1" selected="0">
            <x v="14"/>
          </reference>
        </references>
      </pivotArea>
    </format>
    <format dxfId="1751">
      <pivotArea dataOnly="0" labelOnly="1" outline="0" fieldPosition="0">
        <references count="4">
          <reference field="9" count="1" selected="0">
            <x v="23"/>
          </reference>
          <reference field="10" count="1" selected="0">
            <x v="19"/>
          </reference>
          <reference field="14" count="1">
            <x v="15"/>
          </reference>
          <reference field="18" count="1" selected="0">
            <x v="15"/>
          </reference>
        </references>
      </pivotArea>
    </format>
    <format dxfId="1750">
      <pivotArea dataOnly="0" labelOnly="1" outline="0" fieldPosition="0">
        <references count="4">
          <reference field="9" count="1" selected="0">
            <x v="23"/>
          </reference>
          <reference field="10" count="1" selected="0">
            <x v="19"/>
          </reference>
          <reference field="14" count="1">
            <x v="19"/>
          </reference>
          <reference field="18" count="1" selected="0">
            <x v="16"/>
          </reference>
        </references>
      </pivotArea>
    </format>
    <format dxfId="1749">
      <pivotArea dataOnly="0" labelOnly="1" outline="0" fieldPosition="0">
        <references count="4">
          <reference field="9" count="1" selected="0">
            <x v="23"/>
          </reference>
          <reference field="10" count="1" selected="0">
            <x v="19"/>
          </reference>
          <reference field="14" count="1">
            <x v="14"/>
          </reference>
          <reference field="18" count="1" selected="0">
            <x v="18"/>
          </reference>
        </references>
      </pivotArea>
    </format>
    <format dxfId="1748">
      <pivotArea dataOnly="0" labelOnly="1" outline="0" fieldPosition="0">
        <references count="4">
          <reference field="9" count="1" selected="0">
            <x v="23"/>
          </reference>
          <reference field="10" count="1" selected="0">
            <x v="19"/>
          </reference>
          <reference field="14" count="1">
            <x v="7"/>
          </reference>
          <reference field="18" count="1" selected="0">
            <x v="22"/>
          </reference>
        </references>
      </pivotArea>
    </format>
    <format dxfId="1747">
      <pivotArea dataOnly="0" labelOnly="1" outline="0" fieldPosition="0">
        <references count="4">
          <reference field="9" count="1" selected="0">
            <x v="23"/>
          </reference>
          <reference field="10" count="1" selected="0">
            <x v="19"/>
          </reference>
          <reference field="14" count="1">
            <x v="22"/>
          </reference>
          <reference field="18" count="1" selected="0">
            <x v="25"/>
          </reference>
        </references>
      </pivotArea>
    </format>
    <format dxfId="1746">
      <pivotArea dataOnly="0" labelOnly="1" outline="0" fieldPosition="0">
        <references count="4">
          <reference field="9" count="1" selected="0">
            <x v="23"/>
          </reference>
          <reference field="10" count="1" selected="0">
            <x v="19"/>
          </reference>
          <reference field="14" count="1">
            <x v="21"/>
          </reference>
          <reference field="18" count="1" selected="0">
            <x v="27"/>
          </reference>
        </references>
      </pivotArea>
    </format>
    <format dxfId="1745">
      <pivotArea dataOnly="0" labelOnly="1" outline="0" fieldPosition="0">
        <references count="4">
          <reference field="9" count="1" selected="0">
            <x v="23"/>
          </reference>
          <reference field="10" count="1" selected="0">
            <x v="19"/>
          </reference>
          <reference field="14" count="1">
            <x v="5"/>
          </reference>
          <reference field="18" count="1" selected="0">
            <x v="28"/>
          </reference>
        </references>
      </pivotArea>
    </format>
    <format dxfId="1744">
      <pivotArea dataOnly="0" labelOnly="1" outline="0" fieldPosition="0">
        <references count="4">
          <reference field="9" count="1" selected="0">
            <x v="23"/>
          </reference>
          <reference field="10" count="1" selected="0">
            <x v="19"/>
          </reference>
          <reference field="14" count="1">
            <x v="29"/>
          </reference>
          <reference field="18" count="1" selected="0">
            <x v="29"/>
          </reference>
        </references>
      </pivotArea>
    </format>
    <format dxfId="1743">
      <pivotArea dataOnly="0" labelOnly="1" outline="0" fieldPosition="0">
        <references count="4">
          <reference field="9" count="1" selected="0">
            <x v="23"/>
          </reference>
          <reference field="10" count="1" selected="0">
            <x v="19"/>
          </reference>
          <reference field="14" count="1">
            <x v="26"/>
          </reference>
          <reference field="18" count="1" selected="0">
            <x v="30"/>
          </reference>
        </references>
      </pivotArea>
    </format>
    <format dxfId="1742">
      <pivotArea dataOnly="0" labelOnly="1" outline="0" fieldPosition="0">
        <references count="4">
          <reference field="9" count="1" selected="0">
            <x v="24"/>
          </reference>
          <reference field="10" count="1" selected="0">
            <x v="23"/>
          </reference>
          <reference field="14" count="1">
            <x v="27"/>
          </reference>
          <reference field="18" count="1" selected="0">
            <x v="6"/>
          </reference>
        </references>
      </pivotArea>
    </format>
    <format dxfId="1741">
      <pivotArea dataOnly="0" labelOnly="1" outline="0" fieldPosition="0">
        <references count="4">
          <reference field="9" count="1" selected="0">
            <x v="25"/>
          </reference>
          <reference field="10" count="1" selected="0">
            <x v="27"/>
          </reference>
          <reference field="14" count="1">
            <x v="11"/>
          </reference>
          <reference field="18" count="1" selected="0">
            <x v="3"/>
          </reference>
        </references>
      </pivotArea>
    </format>
    <format dxfId="1740">
      <pivotArea dataOnly="0" labelOnly="1" outline="0" fieldPosition="0">
        <references count="4">
          <reference field="9" count="1" selected="0">
            <x v="25"/>
          </reference>
          <reference field="10" count="1" selected="0">
            <x v="27"/>
          </reference>
          <reference field="14" count="1">
            <x v="28"/>
          </reference>
          <reference field="18" count="1" selected="0">
            <x v="5"/>
          </reference>
        </references>
      </pivotArea>
    </format>
    <format dxfId="1739">
      <pivotArea dataOnly="0" labelOnly="1" outline="0" fieldPosition="0">
        <references count="4">
          <reference field="9" count="1" selected="0">
            <x v="25"/>
          </reference>
          <reference field="10" count="1" selected="0">
            <x v="27"/>
          </reference>
          <reference field="14" count="1">
            <x v="19"/>
          </reference>
          <reference field="18" count="1" selected="0">
            <x v="16"/>
          </reference>
        </references>
      </pivotArea>
    </format>
    <format dxfId="1738">
      <pivotArea dataOnly="0" labelOnly="1" outline="0" fieldPosition="0">
        <references count="4">
          <reference field="9" count="1" selected="0">
            <x v="25"/>
          </reference>
          <reference field="10" count="1" selected="0">
            <x v="27"/>
          </reference>
          <reference field="14" count="1">
            <x v="5"/>
          </reference>
          <reference field="18" count="1" selected="0">
            <x v="28"/>
          </reference>
        </references>
      </pivotArea>
    </format>
    <format dxfId="1737">
      <pivotArea dataOnly="0" labelOnly="1" outline="0" fieldPosition="0">
        <references count="4">
          <reference field="9" count="1" selected="0">
            <x v="25"/>
          </reference>
          <reference field="10" count="1" selected="0">
            <x v="27"/>
          </reference>
          <reference field="14" count="1">
            <x v="26"/>
          </reference>
          <reference field="18" count="1" selected="0">
            <x v="30"/>
          </reference>
        </references>
      </pivotArea>
    </format>
    <format dxfId="1736">
      <pivotArea dataOnly="0" labelOnly="1" outline="0" fieldPosition="0">
        <references count="4">
          <reference field="9" count="1" selected="0">
            <x v="26"/>
          </reference>
          <reference field="10" count="1" selected="0">
            <x v="31"/>
          </reference>
          <reference field="14" count="1">
            <x v="4"/>
          </reference>
          <reference field="18" count="1" selected="0">
            <x v="0"/>
          </reference>
        </references>
      </pivotArea>
    </format>
    <format dxfId="1735">
      <pivotArea dataOnly="0" labelOnly="1" outline="0" fieldPosition="0">
        <references count="4">
          <reference field="9" count="1" selected="0">
            <x v="26"/>
          </reference>
          <reference field="10" count="1" selected="0">
            <x v="31"/>
          </reference>
          <reference field="14" count="1">
            <x v="11"/>
          </reference>
          <reference field="18" count="1" selected="0">
            <x v="3"/>
          </reference>
        </references>
      </pivotArea>
    </format>
    <format dxfId="1734">
      <pivotArea dataOnly="0" labelOnly="1" outline="0" fieldPosition="0">
        <references count="4">
          <reference field="9" count="1" selected="0">
            <x v="26"/>
          </reference>
          <reference field="10" count="1" selected="0">
            <x v="31"/>
          </reference>
          <reference field="14" count="1">
            <x v="28"/>
          </reference>
          <reference field="18" count="1" selected="0">
            <x v="5"/>
          </reference>
        </references>
      </pivotArea>
    </format>
    <format dxfId="1733">
      <pivotArea dataOnly="0" labelOnly="1" outline="0" fieldPosition="0">
        <references count="4">
          <reference field="9" count="1" selected="0">
            <x v="26"/>
          </reference>
          <reference field="10" count="1" selected="0">
            <x v="31"/>
          </reference>
          <reference field="14" count="1">
            <x v="10"/>
          </reference>
          <reference field="18" count="1" selected="0">
            <x v="7"/>
          </reference>
        </references>
      </pivotArea>
    </format>
    <format dxfId="1732">
      <pivotArea dataOnly="0" labelOnly="1" outline="0" fieldPosition="0">
        <references count="4">
          <reference field="9" count="1" selected="0">
            <x v="26"/>
          </reference>
          <reference field="10" count="1" selected="0">
            <x v="31"/>
          </reference>
          <reference field="14" count="1">
            <x v="8"/>
          </reference>
          <reference field="18" count="1" selected="0">
            <x v="9"/>
          </reference>
        </references>
      </pivotArea>
    </format>
    <format dxfId="1731">
      <pivotArea dataOnly="0" labelOnly="1" outline="0" fieldPosition="0">
        <references count="4">
          <reference field="9" count="1" selected="0">
            <x v="26"/>
          </reference>
          <reference field="10" count="1" selected="0">
            <x v="31"/>
          </reference>
          <reference field="14" count="1">
            <x v="16"/>
          </reference>
          <reference field="18" count="1" selected="0">
            <x v="12"/>
          </reference>
        </references>
      </pivotArea>
    </format>
    <format dxfId="1730">
      <pivotArea dataOnly="0" labelOnly="1" outline="0" fieldPosition="0">
        <references count="4">
          <reference field="9" count="1" selected="0">
            <x v="26"/>
          </reference>
          <reference field="10" count="1" selected="0">
            <x v="31"/>
          </reference>
          <reference field="14" count="1">
            <x v="25"/>
          </reference>
          <reference field="18" count="1" selected="0">
            <x v="14"/>
          </reference>
        </references>
      </pivotArea>
    </format>
    <format dxfId="1729">
      <pivotArea dataOnly="0" labelOnly="1" outline="0" fieldPosition="0">
        <references count="4">
          <reference field="9" count="1" selected="0">
            <x v="26"/>
          </reference>
          <reference field="10" count="1" selected="0">
            <x v="31"/>
          </reference>
          <reference field="14" count="1">
            <x v="15"/>
          </reference>
          <reference field="18" count="1" selected="0">
            <x v="15"/>
          </reference>
        </references>
      </pivotArea>
    </format>
    <format dxfId="1728">
      <pivotArea dataOnly="0" labelOnly="1" outline="0" fieldPosition="0">
        <references count="4">
          <reference field="9" count="1" selected="0">
            <x v="26"/>
          </reference>
          <reference field="10" count="1" selected="0">
            <x v="31"/>
          </reference>
          <reference field="14" count="1">
            <x v="19"/>
          </reference>
          <reference field="18" count="1" selected="0">
            <x v="16"/>
          </reference>
        </references>
      </pivotArea>
    </format>
    <format dxfId="1727">
      <pivotArea dataOnly="0" labelOnly="1" outline="0" fieldPosition="0">
        <references count="4">
          <reference field="9" count="1" selected="0">
            <x v="26"/>
          </reference>
          <reference field="10" count="1" selected="0">
            <x v="31"/>
          </reference>
          <reference field="14" count="1">
            <x v="14"/>
          </reference>
          <reference field="18" count="1" selected="0">
            <x v="18"/>
          </reference>
        </references>
      </pivotArea>
    </format>
    <format dxfId="1726">
      <pivotArea dataOnly="0" labelOnly="1" outline="0" fieldPosition="0">
        <references count="4">
          <reference field="9" count="1" selected="0">
            <x v="26"/>
          </reference>
          <reference field="10" count="1" selected="0">
            <x v="31"/>
          </reference>
          <reference field="14" count="1">
            <x v="7"/>
          </reference>
          <reference field="18" count="1" selected="0">
            <x v="22"/>
          </reference>
        </references>
      </pivotArea>
    </format>
    <format dxfId="1725">
      <pivotArea dataOnly="0" labelOnly="1" outline="0" fieldPosition="0">
        <references count="4">
          <reference field="9" count="1" selected="0">
            <x v="26"/>
          </reference>
          <reference field="10" count="1" selected="0">
            <x v="31"/>
          </reference>
          <reference field="14" count="1">
            <x v="22"/>
          </reference>
          <reference field="18" count="1" selected="0">
            <x v="25"/>
          </reference>
        </references>
      </pivotArea>
    </format>
    <format dxfId="1724">
      <pivotArea dataOnly="0" labelOnly="1" outline="0" fieldPosition="0">
        <references count="4">
          <reference field="9" count="1" selected="0">
            <x v="26"/>
          </reference>
          <reference field="10" count="1" selected="0">
            <x v="31"/>
          </reference>
          <reference field="14" count="1">
            <x v="5"/>
          </reference>
          <reference field="18" count="1" selected="0">
            <x v="28"/>
          </reference>
        </references>
      </pivotArea>
    </format>
    <format dxfId="1723">
      <pivotArea dataOnly="0" labelOnly="1" outline="0" fieldPosition="0">
        <references count="4">
          <reference field="9" count="1" selected="0">
            <x v="26"/>
          </reference>
          <reference field="10" count="1" selected="0">
            <x v="31"/>
          </reference>
          <reference field="14" count="1">
            <x v="29"/>
          </reference>
          <reference field="18" count="1" selected="0">
            <x v="29"/>
          </reference>
        </references>
      </pivotArea>
    </format>
    <format dxfId="1722">
      <pivotArea dataOnly="0" labelOnly="1" outline="0" fieldPosition="0">
        <references count="4">
          <reference field="9" count="1" selected="0">
            <x v="27"/>
          </reference>
          <reference field="10" count="1" selected="0">
            <x v="35"/>
          </reference>
          <reference field="14" count="1">
            <x v="7"/>
          </reference>
          <reference field="18" count="1" selected="0">
            <x v="22"/>
          </reference>
        </references>
      </pivotArea>
    </format>
    <format dxfId="1721">
      <pivotArea dataOnly="0" labelOnly="1" outline="0" fieldPosition="0">
        <references count="4">
          <reference field="9" count="1" selected="0">
            <x v="28"/>
          </reference>
          <reference field="10" count="1" selected="0">
            <x v="39"/>
          </reference>
          <reference field="14" count="1">
            <x v="17"/>
          </reference>
          <reference field="18" count="1" selected="0">
            <x v="11"/>
          </reference>
        </references>
      </pivotArea>
    </format>
    <format dxfId="1720">
      <pivotArea dataOnly="0" labelOnly="1" outline="0" fieldPosition="0">
        <references count="4">
          <reference field="9" count="1" selected="0">
            <x v="28"/>
          </reference>
          <reference field="10" count="1" selected="0">
            <x v="39"/>
          </reference>
          <reference field="14" count="1">
            <x v="16"/>
          </reference>
          <reference field="18" count="1" selected="0">
            <x v="12"/>
          </reference>
        </references>
      </pivotArea>
    </format>
    <format dxfId="1719">
      <pivotArea dataOnly="0" labelOnly="1" outline="0" fieldPosition="0">
        <references count="4">
          <reference field="9" count="1" selected="0">
            <x v="28"/>
          </reference>
          <reference field="10" count="1" selected="0">
            <x v="39"/>
          </reference>
          <reference field="14" count="1">
            <x v="18"/>
          </reference>
          <reference field="18" count="1" selected="0">
            <x v="13"/>
          </reference>
        </references>
      </pivotArea>
    </format>
    <format dxfId="1718">
      <pivotArea dataOnly="0" labelOnly="1" outline="0" fieldPosition="0">
        <references count="4">
          <reference field="9" count="1" selected="0">
            <x v="28"/>
          </reference>
          <reference field="10" count="1" selected="0">
            <x v="39"/>
          </reference>
          <reference field="14" count="1">
            <x v="15"/>
          </reference>
          <reference field="18" count="1" selected="0">
            <x v="15"/>
          </reference>
        </references>
      </pivotArea>
    </format>
    <format dxfId="1717">
      <pivotArea dataOnly="0" labelOnly="1" outline="0" fieldPosition="0">
        <references count="4">
          <reference field="9" count="1" selected="0">
            <x v="28"/>
          </reference>
          <reference field="10" count="1" selected="0">
            <x v="39"/>
          </reference>
          <reference field="14" count="1">
            <x v="21"/>
          </reference>
          <reference field="18" count="1" selected="0">
            <x v="27"/>
          </reference>
        </references>
      </pivotArea>
    </format>
    <format dxfId="1716">
      <pivotArea dataOnly="0" labelOnly="1" outline="0" fieldPosition="0">
        <references count="4">
          <reference field="9" count="1" selected="0">
            <x v="29"/>
          </reference>
          <reference field="10" count="1" selected="0">
            <x v="43"/>
          </reference>
          <reference field="14" count="1">
            <x v="1"/>
          </reference>
          <reference field="18" count="1" selected="0">
            <x v="1"/>
          </reference>
        </references>
      </pivotArea>
    </format>
    <format dxfId="1715">
      <pivotArea dataOnly="0" labelOnly="1" outline="0" fieldPosition="0">
        <references count="4">
          <reference field="9" count="1" selected="0">
            <x v="29"/>
          </reference>
          <reference field="10" count="1" selected="0">
            <x v="43"/>
          </reference>
          <reference field="14" count="1">
            <x v="11"/>
          </reference>
          <reference field="18" count="1" selected="0">
            <x v="3"/>
          </reference>
        </references>
      </pivotArea>
    </format>
    <format dxfId="1714">
      <pivotArea dataOnly="0" labelOnly="1" outline="0" fieldPosition="0">
        <references count="4">
          <reference field="9" count="1" selected="0">
            <x v="29"/>
          </reference>
          <reference field="10" count="1" selected="0">
            <x v="43"/>
          </reference>
          <reference field="14" count="1">
            <x v="28"/>
          </reference>
          <reference field="18" count="1" selected="0">
            <x v="5"/>
          </reference>
        </references>
      </pivotArea>
    </format>
    <format dxfId="1713">
      <pivotArea dataOnly="0" labelOnly="1" outline="0" fieldPosition="0">
        <references count="4">
          <reference field="9" count="1" selected="0">
            <x v="29"/>
          </reference>
          <reference field="10" count="1" selected="0">
            <x v="43"/>
          </reference>
          <reference field="14" count="1">
            <x v="10"/>
          </reference>
          <reference field="18" count="1" selected="0">
            <x v="7"/>
          </reference>
        </references>
      </pivotArea>
    </format>
    <format dxfId="1712">
      <pivotArea dataOnly="0" labelOnly="1" outline="0" fieldPosition="0">
        <references count="4">
          <reference field="9" count="1" selected="0">
            <x v="29"/>
          </reference>
          <reference field="10" count="1" selected="0">
            <x v="43"/>
          </reference>
          <reference field="14" count="1">
            <x v="15"/>
          </reference>
          <reference field="18" count="1" selected="0">
            <x v="15"/>
          </reference>
        </references>
      </pivotArea>
    </format>
    <format dxfId="1711">
      <pivotArea dataOnly="0" labelOnly="1" outline="0" fieldPosition="0">
        <references count="4">
          <reference field="9" count="1" selected="0">
            <x v="29"/>
          </reference>
          <reference field="10" count="1" selected="0">
            <x v="43"/>
          </reference>
          <reference field="14" count="1">
            <x v="22"/>
          </reference>
          <reference field="18" count="1" selected="0">
            <x v="25"/>
          </reference>
        </references>
      </pivotArea>
    </format>
    <format dxfId="1710">
      <pivotArea dataOnly="0" labelOnly="1" outline="0" fieldPosition="0">
        <references count="4">
          <reference field="9" count="1" selected="0">
            <x v="29"/>
          </reference>
          <reference field="10" count="1" selected="0">
            <x v="43"/>
          </reference>
          <reference field="14" count="1">
            <x v="5"/>
          </reference>
          <reference field="18" count="1" selected="0">
            <x v="28"/>
          </reference>
        </references>
      </pivotArea>
    </format>
    <format dxfId="1709">
      <pivotArea dataOnly="0" labelOnly="1" outline="0" fieldPosition="0">
        <references count="4">
          <reference field="9" count="1" selected="0">
            <x v="29"/>
          </reference>
          <reference field="10" count="1" selected="0">
            <x v="43"/>
          </reference>
          <reference field="14" count="1">
            <x v="29"/>
          </reference>
          <reference field="18" count="1" selected="0">
            <x v="29"/>
          </reference>
        </references>
      </pivotArea>
    </format>
    <format dxfId="1708">
      <pivotArea dataOnly="0" labelOnly="1" outline="0" fieldPosition="0">
        <references count="4">
          <reference field="9" count="1" selected="0">
            <x v="30"/>
          </reference>
          <reference field="10" count="1" selected="0">
            <x v="47"/>
          </reference>
          <reference field="14" count="1">
            <x v="27"/>
          </reference>
          <reference field="18" count="1" selected="0">
            <x v="6"/>
          </reference>
        </references>
      </pivotArea>
    </format>
    <format dxfId="1707">
      <pivotArea dataOnly="0" labelOnly="1" outline="0" fieldPosition="0">
        <references count="4">
          <reference field="9" count="1" selected="0">
            <x v="30"/>
          </reference>
          <reference field="10" count="1" selected="0">
            <x v="47"/>
          </reference>
          <reference field="14" count="1">
            <x v="7"/>
          </reference>
          <reference field="18" count="1" selected="0">
            <x v="22"/>
          </reference>
        </references>
      </pivotArea>
    </format>
    <format dxfId="1706">
      <pivotArea dataOnly="0" labelOnly="1" outline="0" fieldPosition="0">
        <references count="4">
          <reference field="9" count="1" selected="0">
            <x v="31"/>
          </reference>
          <reference field="10" count="1" selected="0">
            <x v="51"/>
          </reference>
          <reference field="14" count="1">
            <x v="27"/>
          </reference>
          <reference field="18" count="1" selected="0">
            <x v="6"/>
          </reference>
        </references>
      </pivotArea>
    </format>
    <format dxfId="1705">
      <pivotArea dataOnly="0" labelOnly="1" outline="0" fieldPosition="0">
        <references count="4">
          <reference field="9" count="1" selected="0">
            <x v="32"/>
          </reference>
          <reference field="10" count="1" selected="0">
            <x v="12"/>
          </reference>
          <reference field="14" count="1">
            <x v="4"/>
          </reference>
          <reference field="18" count="1" selected="0">
            <x v="0"/>
          </reference>
        </references>
      </pivotArea>
    </format>
    <format dxfId="1704">
      <pivotArea dataOnly="0" labelOnly="1" outline="0" fieldPosition="0">
        <references count="4">
          <reference field="9" count="1" selected="0">
            <x v="32"/>
          </reference>
          <reference field="10" count="1" selected="0">
            <x v="12"/>
          </reference>
          <reference field="14" count="1">
            <x v="1"/>
          </reference>
          <reference field="18" count="1" selected="0">
            <x v="1"/>
          </reference>
        </references>
      </pivotArea>
    </format>
    <format dxfId="1703">
      <pivotArea dataOnly="0" labelOnly="1" outline="0" fieldPosition="0">
        <references count="4">
          <reference field="9" count="1" selected="0">
            <x v="32"/>
          </reference>
          <reference field="10" count="1" selected="0">
            <x v="12"/>
          </reference>
          <reference field="14" count="1">
            <x v="11"/>
          </reference>
          <reference field="18" count="1" selected="0">
            <x v="3"/>
          </reference>
        </references>
      </pivotArea>
    </format>
    <format dxfId="1702">
      <pivotArea dataOnly="0" labelOnly="1" outline="0" fieldPosition="0">
        <references count="4">
          <reference field="9" count="1" selected="0">
            <x v="32"/>
          </reference>
          <reference field="10" count="1" selected="0">
            <x v="12"/>
          </reference>
          <reference field="14" count="1">
            <x v="16"/>
          </reference>
          <reference field="18" count="1" selected="0">
            <x v="12"/>
          </reference>
        </references>
      </pivotArea>
    </format>
    <format dxfId="1701">
      <pivotArea dataOnly="0" labelOnly="1" outline="0" fieldPosition="0">
        <references count="4">
          <reference field="9" count="1" selected="0">
            <x v="32"/>
          </reference>
          <reference field="10" count="1" selected="0">
            <x v="12"/>
          </reference>
          <reference field="14" count="1">
            <x v="25"/>
          </reference>
          <reference field="18" count="1" selected="0">
            <x v="14"/>
          </reference>
        </references>
      </pivotArea>
    </format>
    <format dxfId="1700">
      <pivotArea dataOnly="0" labelOnly="1" outline="0" fieldPosition="0">
        <references count="4">
          <reference field="9" count="1" selected="0">
            <x v="32"/>
          </reference>
          <reference field="10" count="1" selected="0">
            <x v="12"/>
          </reference>
          <reference field="14" count="1">
            <x v="12"/>
          </reference>
          <reference field="18" count="1" selected="0">
            <x v="21"/>
          </reference>
        </references>
      </pivotArea>
    </format>
    <format dxfId="1699">
      <pivotArea dataOnly="0" labelOnly="1" outline="0" fieldPosition="0">
        <references count="4">
          <reference field="9" count="1" selected="0">
            <x v="32"/>
          </reference>
          <reference field="10" count="1" selected="0">
            <x v="12"/>
          </reference>
          <reference field="14" count="1">
            <x v="7"/>
          </reference>
          <reference field="18" count="1" selected="0">
            <x v="22"/>
          </reference>
        </references>
      </pivotArea>
    </format>
    <format dxfId="1698">
      <pivotArea dataOnly="0" labelOnly="1" outline="0" fieldPosition="0">
        <references count="4">
          <reference field="9" count="1" selected="0">
            <x v="32"/>
          </reference>
          <reference field="10" count="1" selected="0">
            <x v="12"/>
          </reference>
          <reference field="14" count="1">
            <x v="22"/>
          </reference>
          <reference field="18" count="1" selected="0">
            <x v="25"/>
          </reference>
        </references>
      </pivotArea>
    </format>
    <format dxfId="1697">
      <pivotArea dataOnly="0" labelOnly="1" outline="0" fieldPosition="0">
        <references count="4">
          <reference field="9" count="1" selected="0">
            <x v="32"/>
          </reference>
          <reference field="10" count="1" selected="0">
            <x v="12"/>
          </reference>
          <reference field="14" count="1">
            <x v="5"/>
          </reference>
          <reference field="18" count="1" selected="0">
            <x v="28"/>
          </reference>
        </references>
      </pivotArea>
    </format>
    <format dxfId="1696">
      <pivotArea dataOnly="0" labelOnly="1" outline="0" fieldPosition="0">
        <references count="4">
          <reference field="9" count="1" selected="0">
            <x v="32"/>
          </reference>
          <reference field="10" count="1" selected="0">
            <x v="12"/>
          </reference>
          <reference field="14" count="1">
            <x v="29"/>
          </reference>
          <reference field="18" count="1" selected="0">
            <x v="29"/>
          </reference>
        </references>
      </pivotArea>
    </format>
    <format dxfId="1695">
      <pivotArea dataOnly="0" labelOnly="1" outline="0" fieldPosition="0">
        <references count="4">
          <reference field="9" count="1" selected="0">
            <x v="33"/>
          </reference>
          <reference field="10" count="1" selected="0">
            <x v="16"/>
          </reference>
          <reference field="14" count="1">
            <x v="11"/>
          </reference>
          <reference field="18" count="1" selected="0">
            <x v="3"/>
          </reference>
        </references>
      </pivotArea>
    </format>
    <format dxfId="1694">
      <pivotArea dataOnly="0" labelOnly="1" outline="0" fieldPosition="0">
        <references count="4">
          <reference field="9" count="1" selected="0">
            <x v="34"/>
          </reference>
          <reference field="10" count="1" selected="0">
            <x v="20"/>
          </reference>
          <reference field="14" count="1">
            <x v="4"/>
          </reference>
          <reference field="18" count="1" selected="0">
            <x v="0"/>
          </reference>
        </references>
      </pivotArea>
    </format>
    <format dxfId="1693">
      <pivotArea dataOnly="0" labelOnly="1" outline="0" fieldPosition="0">
        <references count="4">
          <reference field="9" count="1" selected="0">
            <x v="34"/>
          </reference>
          <reference field="10" count="1" selected="0">
            <x v="20"/>
          </reference>
          <reference field="14" count="1">
            <x v="1"/>
          </reference>
          <reference field="18" count="1" selected="0">
            <x v="1"/>
          </reference>
        </references>
      </pivotArea>
    </format>
    <format dxfId="1692">
      <pivotArea dataOnly="0" labelOnly="1" outline="0" fieldPosition="0">
        <references count="4">
          <reference field="9" count="1" selected="0">
            <x v="34"/>
          </reference>
          <reference field="10" count="1" selected="0">
            <x v="20"/>
          </reference>
          <reference field="14" count="1">
            <x v="10"/>
          </reference>
          <reference field="18" count="1" selected="0">
            <x v="7"/>
          </reference>
        </references>
      </pivotArea>
    </format>
    <format dxfId="1691">
      <pivotArea dataOnly="0" labelOnly="1" outline="0" fieldPosition="0">
        <references count="4">
          <reference field="9" count="1" selected="0">
            <x v="34"/>
          </reference>
          <reference field="10" count="1" selected="0">
            <x v="20"/>
          </reference>
          <reference field="14" count="1">
            <x v="9"/>
          </reference>
          <reference field="18" count="1" selected="0">
            <x v="8"/>
          </reference>
        </references>
      </pivotArea>
    </format>
    <format dxfId="1690">
      <pivotArea dataOnly="0" labelOnly="1" outline="0" fieldPosition="0">
        <references count="4">
          <reference field="9" count="1" selected="0">
            <x v="34"/>
          </reference>
          <reference field="10" count="1" selected="0">
            <x v="20"/>
          </reference>
          <reference field="14" count="1">
            <x v="8"/>
          </reference>
          <reference field="18" count="1" selected="0">
            <x v="9"/>
          </reference>
        </references>
      </pivotArea>
    </format>
    <format dxfId="1689">
      <pivotArea dataOnly="0" labelOnly="1" outline="0" fieldPosition="0">
        <references count="4">
          <reference field="9" count="1" selected="0">
            <x v="34"/>
          </reference>
          <reference field="10" count="1" selected="0">
            <x v="20"/>
          </reference>
          <reference field="14" count="1">
            <x v="17"/>
          </reference>
          <reference field="18" count="1" selected="0">
            <x v="11"/>
          </reference>
        </references>
      </pivotArea>
    </format>
    <format dxfId="1688">
      <pivotArea dataOnly="0" labelOnly="1" outline="0" fieldPosition="0">
        <references count="4">
          <reference field="9" count="1" selected="0">
            <x v="34"/>
          </reference>
          <reference field="10" count="1" selected="0">
            <x v="20"/>
          </reference>
          <reference field="14" count="1">
            <x v="16"/>
          </reference>
          <reference field="18" count="1" selected="0">
            <x v="12"/>
          </reference>
        </references>
      </pivotArea>
    </format>
    <format dxfId="1687">
      <pivotArea dataOnly="0" labelOnly="1" outline="0" fieldPosition="0">
        <references count="4">
          <reference field="9" count="1" selected="0">
            <x v="34"/>
          </reference>
          <reference field="10" count="1" selected="0">
            <x v="20"/>
          </reference>
          <reference field="14" count="1">
            <x v="18"/>
          </reference>
          <reference field="18" count="1" selected="0">
            <x v="13"/>
          </reference>
        </references>
      </pivotArea>
    </format>
    <format dxfId="1686">
      <pivotArea dataOnly="0" labelOnly="1" outline="0" fieldPosition="0">
        <references count="4">
          <reference field="9" count="1" selected="0">
            <x v="34"/>
          </reference>
          <reference field="10" count="1" selected="0">
            <x v="20"/>
          </reference>
          <reference field="14" count="1">
            <x v="15"/>
          </reference>
          <reference field="18" count="1" selected="0">
            <x v="15"/>
          </reference>
        </references>
      </pivotArea>
    </format>
    <format dxfId="1685">
      <pivotArea dataOnly="0" labelOnly="1" outline="0" fieldPosition="0">
        <references count="4">
          <reference field="9" count="1" selected="0">
            <x v="34"/>
          </reference>
          <reference field="10" count="1" selected="0">
            <x v="20"/>
          </reference>
          <reference field="14" count="1">
            <x v="19"/>
          </reference>
          <reference field="18" count="1" selected="0">
            <x v="16"/>
          </reference>
        </references>
      </pivotArea>
    </format>
    <format dxfId="1684">
      <pivotArea dataOnly="0" labelOnly="1" outline="0" fieldPosition="0">
        <references count="4">
          <reference field="9" count="1" selected="0">
            <x v="34"/>
          </reference>
          <reference field="10" count="1" selected="0">
            <x v="20"/>
          </reference>
          <reference field="14" count="1">
            <x v="14"/>
          </reference>
          <reference field="18" count="1" selected="0">
            <x v="18"/>
          </reference>
        </references>
      </pivotArea>
    </format>
    <format dxfId="1683">
      <pivotArea dataOnly="0" labelOnly="1" outline="0" fieldPosition="0">
        <references count="4">
          <reference field="9" count="1" selected="0">
            <x v="34"/>
          </reference>
          <reference field="10" count="1" selected="0">
            <x v="20"/>
          </reference>
          <reference field="14" count="1">
            <x v="7"/>
          </reference>
          <reference field="18" count="1" selected="0">
            <x v="22"/>
          </reference>
        </references>
      </pivotArea>
    </format>
    <format dxfId="1682">
      <pivotArea dataOnly="0" labelOnly="1" outline="0" fieldPosition="0">
        <references count="4">
          <reference field="9" count="1" selected="0">
            <x v="34"/>
          </reference>
          <reference field="10" count="1" selected="0">
            <x v="20"/>
          </reference>
          <reference field="14" count="1">
            <x v="22"/>
          </reference>
          <reference field="18" count="1" selected="0">
            <x v="25"/>
          </reference>
        </references>
      </pivotArea>
    </format>
    <format dxfId="1681">
      <pivotArea dataOnly="0" labelOnly="1" outline="0" fieldPosition="0">
        <references count="4">
          <reference field="9" count="1" selected="0">
            <x v="34"/>
          </reference>
          <reference field="10" count="1" selected="0">
            <x v="20"/>
          </reference>
          <reference field="14" count="1">
            <x v="21"/>
          </reference>
          <reference field="18" count="1" selected="0">
            <x v="27"/>
          </reference>
        </references>
      </pivotArea>
    </format>
    <format dxfId="1680">
      <pivotArea dataOnly="0" labelOnly="1" outline="0" fieldPosition="0">
        <references count="4">
          <reference field="9" count="1" selected="0">
            <x v="34"/>
          </reference>
          <reference field="10" count="1" selected="0">
            <x v="20"/>
          </reference>
          <reference field="14" count="1">
            <x v="5"/>
          </reference>
          <reference field="18" count="1" selected="0">
            <x v="28"/>
          </reference>
        </references>
      </pivotArea>
    </format>
    <format dxfId="1679">
      <pivotArea dataOnly="0" labelOnly="1" outline="0" fieldPosition="0">
        <references count="4">
          <reference field="9" count="1" selected="0">
            <x v="34"/>
          </reference>
          <reference field="10" count="1" selected="0">
            <x v="20"/>
          </reference>
          <reference field="14" count="1">
            <x v="29"/>
          </reference>
          <reference field="18" count="1" selected="0">
            <x v="29"/>
          </reference>
        </references>
      </pivotArea>
    </format>
    <format dxfId="1678">
      <pivotArea dataOnly="0" labelOnly="1" outline="0" fieldPosition="0">
        <references count="4">
          <reference field="9" count="1" selected="0">
            <x v="34"/>
          </reference>
          <reference field="10" count="1" selected="0">
            <x v="20"/>
          </reference>
          <reference field="14" count="1">
            <x v="26"/>
          </reference>
          <reference field="18" count="1" selected="0">
            <x v="30"/>
          </reference>
        </references>
      </pivotArea>
    </format>
    <format dxfId="1677">
      <pivotArea dataOnly="0" labelOnly="1" outline="0" fieldPosition="0">
        <references count="4">
          <reference field="9" count="1" selected="0">
            <x v="35"/>
          </reference>
          <reference field="10" count="1" selected="0">
            <x v="24"/>
          </reference>
          <reference field="14" count="1">
            <x v="27"/>
          </reference>
          <reference field="18" count="1" selected="0">
            <x v="6"/>
          </reference>
        </references>
      </pivotArea>
    </format>
    <format dxfId="1676">
      <pivotArea dataOnly="0" labelOnly="1" outline="0" fieldPosition="0">
        <references count="4">
          <reference field="9" count="1" selected="0">
            <x v="36"/>
          </reference>
          <reference field="10" count="1" selected="0">
            <x v="28"/>
          </reference>
          <reference field="14" count="1">
            <x v="6"/>
          </reference>
          <reference field="18" count="1" selected="0">
            <x v="4"/>
          </reference>
        </references>
      </pivotArea>
    </format>
    <format dxfId="1675">
      <pivotArea dataOnly="0" labelOnly="1" outline="0" fieldPosition="0">
        <references count="4">
          <reference field="9" count="1" selected="0">
            <x v="36"/>
          </reference>
          <reference field="10" count="1" selected="0">
            <x v="28"/>
          </reference>
          <reference field="14" count="1">
            <x v="19"/>
          </reference>
          <reference field="18" count="1" selected="0">
            <x v="16"/>
          </reference>
        </references>
      </pivotArea>
    </format>
    <format dxfId="1674">
      <pivotArea dataOnly="0" labelOnly="1" outline="0" fieldPosition="0">
        <references count="4">
          <reference field="9" count="1" selected="0">
            <x v="36"/>
          </reference>
          <reference field="10" count="1" selected="0">
            <x v="28"/>
          </reference>
          <reference field="14" count="1">
            <x v="26"/>
          </reference>
          <reference field="18" count="1" selected="0">
            <x v="30"/>
          </reference>
        </references>
      </pivotArea>
    </format>
    <format dxfId="1673">
      <pivotArea dataOnly="0" labelOnly="1" outline="0" fieldPosition="0">
        <references count="4">
          <reference field="9" count="1" selected="0">
            <x v="37"/>
          </reference>
          <reference field="10" count="1" selected="0">
            <x v="32"/>
          </reference>
          <reference field="14" count="1">
            <x v="1"/>
          </reference>
          <reference field="18" count="1" selected="0">
            <x v="1"/>
          </reference>
        </references>
      </pivotArea>
    </format>
    <format dxfId="1672">
      <pivotArea dataOnly="0" labelOnly="1" outline="0" fieldPosition="0">
        <references count="4">
          <reference field="9" count="1" selected="0">
            <x v="37"/>
          </reference>
          <reference field="10" count="1" selected="0">
            <x v="32"/>
          </reference>
          <reference field="14" count="1">
            <x v="28"/>
          </reference>
          <reference field="18" count="1" selected="0">
            <x v="5"/>
          </reference>
        </references>
      </pivotArea>
    </format>
    <format dxfId="1671">
      <pivotArea dataOnly="0" labelOnly="1" outline="0" fieldPosition="0">
        <references count="4">
          <reference field="9" count="1" selected="0">
            <x v="37"/>
          </reference>
          <reference field="10" count="1" selected="0">
            <x v="32"/>
          </reference>
          <reference field="14" count="1">
            <x v="10"/>
          </reference>
          <reference field="18" count="1" selected="0">
            <x v="7"/>
          </reference>
        </references>
      </pivotArea>
    </format>
    <format dxfId="1670">
      <pivotArea dataOnly="0" labelOnly="1" outline="0" fieldPosition="0">
        <references count="4">
          <reference field="9" count="1" selected="0">
            <x v="37"/>
          </reference>
          <reference field="10" count="1" selected="0">
            <x v="32"/>
          </reference>
          <reference field="14" count="1">
            <x v="8"/>
          </reference>
          <reference field="18" count="1" selected="0">
            <x v="9"/>
          </reference>
        </references>
      </pivotArea>
    </format>
    <format dxfId="1669">
      <pivotArea dataOnly="0" labelOnly="1" outline="0" fieldPosition="0">
        <references count="4">
          <reference field="9" count="1" selected="0">
            <x v="37"/>
          </reference>
          <reference field="10" count="1" selected="0">
            <x v="32"/>
          </reference>
          <reference field="14" count="1">
            <x v="16"/>
          </reference>
          <reference field="18" count="1" selected="0">
            <x v="12"/>
          </reference>
        </references>
      </pivotArea>
    </format>
    <format dxfId="1668">
      <pivotArea dataOnly="0" labelOnly="1" outline="0" fieldPosition="0">
        <references count="4">
          <reference field="9" count="1" selected="0">
            <x v="37"/>
          </reference>
          <reference field="10" count="1" selected="0">
            <x v="32"/>
          </reference>
          <reference field="14" count="1">
            <x v="25"/>
          </reference>
          <reference field="18" count="1" selected="0">
            <x v="14"/>
          </reference>
        </references>
      </pivotArea>
    </format>
    <format dxfId="1667">
      <pivotArea dataOnly="0" labelOnly="1" outline="0" fieldPosition="0">
        <references count="4">
          <reference field="9" count="1" selected="0">
            <x v="37"/>
          </reference>
          <reference field="10" count="1" selected="0">
            <x v="32"/>
          </reference>
          <reference field="14" count="1">
            <x v="15"/>
          </reference>
          <reference field="18" count="1" selected="0">
            <x v="15"/>
          </reference>
        </references>
      </pivotArea>
    </format>
    <format dxfId="1666">
      <pivotArea dataOnly="0" labelOnly="1" outline="0" fieldPosition="0">
        <references count="4">
          <reference field="9" count="1" selected="0">
            <x v="37"/>
          </reference>
          <reference field="10" count="1" selected="0">
            <x v="32"/>
          </reference>
          <reference field="14" count="1">
            <x v="22"/>
          </reference>
          <reference field="18" count="1" selected="0">
            <x v="25"/>
          </reference>
        </references>
      </pivotArea>
    </format>
    <format dxfId="1665">
      <pivotArea dataOnly="0" labelOnly="1" outline="0" fieldPosition="0">
        <references count="4">
          <reference field="9" count="1" selected="0">
            <x v="37"/>
          </reference>
          <reference field="10" count="1" selected="0">
            <x v="32"/>
          </reference>
          <reference field="14" count="1">
            <x v="5"/>
          </reference>
          <reference field="18" count="1" selected="0">
            <x v="28"/>
          </reference>
        </references>
      </pivotArea>
    </format>
    <format dxfId="1664">
      <pivotArea dataOnly="0" labelOnly="1" outline="0" fieldPosition="0">
        <references count="4">
          <reference field="9" count="1" selected="0">
            <x v="37"/>
          </reference>
          <reference field="10" count="1" selected="0">
            <x v="32"/>
          </reference>
          <reference field="14" count="1">
            <x v="29"/>
          </reference>
          <reference field="18" count="1" selected="0">
            <x v="29"/>
          </reference>
        </references>
      </pivotArea>
    </format>
    <format dxfId="1663">
      <pivotArea dataOnly="0" labelOnly="1" outline="0" fieldPosition="0">
        <references count="4">
          <reference field="9" count="1" selected="0">
            <x v="38"/>
          </reference>
          <reference field="10" count="1" selected="0">
            <x v="36"/>
          </reference>
          <reference field="14" count="1">
            <x v="7"/>
          </reference>
          <reference field="18" count="1" selected="0">
            <x v="22"/>
          </reference>
        </references>
      </pivotArea>
    </format>
    <format dxfId="1662">
      <pivotArea dataOnly="0" labelOnly="1" outline="0" fieldPosition="0">
        <references count="4">
          <reference field="9" count="1" selected="0">
            <x v="39"/>
          </reference>
          <reference field="10" count="1" selected="0">
            <x v="40"/>
          </reference>
          <reference field="14" count="1">
            <x v="17"/>
          </reference>
          <reference field="18" count="1" selected="0">
            <x v="11"/>
          </reference>
        </references>
      </pivotArea>
    </format>
    <format dxfId="1661">
      <pivotArea dataOnly="0" labelOnly="1" outline="0" fieldPosition="0">
        <references count="4">
          <reference field="9" count="1" selected="0">
            <x v="39"/>
          </reference>
          <reference field="10" count="1" selected="0">
            <x v="40"/>
          </reference>
          <reference field="14" count="1">
            <x v="16"/>
          </reference>
          <reference field="18" count="1" selected="0">
            <x v="12"/>
          </reference>
        </references>
      </pivotArea>
    </format>
    <format dxfId="1660">
      <pivotArea dataOnly="0" labelOnly="1" outline="0" fieldPosition="0">
        <references count="4">
          <reference field="9" count="1" selected="0">
            <x v="39"/>
          </reference>
          <reference field="10" count="1" selected="0">
            <x v="40"/>
          </reference>
          <reference field="14" count="1">
            <x v="18"/>
          </reference>
          <reference field="18" count="1" selected="0">
            <x v="13"/>
          </reference>
        </references>
      </pivotArea>
    </format>
    <format dxfId="1659">
      <pivotArea dataOnly="0" labelOnly="1" outline="0" fieldPosition="0">
        <references count="4">
          <reference field="9" count="1" selected="0">
            <x v="39"/>
          </reference>
          <reference field="10" count="1" selected="0">
            <x v="40"/>
          </reference>
          <reference field="14" count="1">
            <x v="15"/>
          </reference>
          <reference field="18" count="1" selected="0">
            <x v="15"/>
          </reference>
        </references>
      </pivotArea>
    </format>
    <format dxfId="1658">
      <pivotArea dataOnly="0" labelOnly="1" outline="0" fieldPosition="0">
        <references count="4">
          <reference field="9" count="1" selected="0">
            <x v="39"/>
          </reference>
          <reference field="10" count="1" selected="0">
            <x v="40"/>
          </reference>
          <reference field="14" count="1">
            <x v="22"/>
          </reference>
          <reference field="18" count="1" selected="0">
            <x v="25"/>
          </reference>
        </references>
      </pivotArea>
    </format>
    <format dxfId="1657">
      <pivotArea dataOnly="0" labelOnly="1" outline="0" fieldPosition="0">
        <references count="4">
          <reference field="9" count="1" selected="0">
            <x v="39"/>
          </reference>
          <reference field="10" count="1" selected="0">
            <x v="40"/>
          </reference>
          <reference field="14" count="1">
            <x v="21"/>
          </reference>
          <reference field="18" count="1" selected="0">
            <x v="27"/>
          </reference>
        </references>
      </pivotArea>
    </format>
    <format dxfId="1656">
      <pivotArea dataOnly="0" labelOnly="1" outline="0" fieldPosition="0">
        <references count="4">
          <reference field="9" count="1" selected="0">
            <x v="39"/>
          </reference>
          <reference field="10" count="1" selected="0">
            <x v="40"/>
          </reference>
          <reference field="14" count="1">
            <x v="29"/>
          </reference>
          <reference field="18" count="1" selected="0">
            <x v="29"/>
          </reference>
        </references>
      </pivotArea>
    </format>
    <format dxfId="1655">
      <pivotArea dataOnly="0" labelOnly="1" outline="0" fieldPosition="0">
        <references count="4">
          <reference field="9" count="1" selected="0">
            <x v="40"/>
          </reference>
          <reference field="10" count="1" selected="0">
            <x v="44"/>
          </reference>
          <reference field="14" count="1">
            <x v="11"/>
          </reference>
          <reference field="18" count="1" selected="0">
            <x v="3"/>
          </reference>
        </references>
      </pivotArea>
    </format>
    <format dxfId="1654">
      <pivotArea dataOnly="0" labelOnly="1" outline="0" fieldPosition="0">
        <references count="4">
          <reference field="9" count="1" selected="0">
            <x v="40"/>
          </reference>
          <reference field="10" count="1" selected="0">
            <x v="44"/>
          </reference>
          <reference field="14" count="1">
            <x v="28"/>
          </reference>
          <reference field="18" count="1" selected="0">
            <x v="5"/>
          </reference>
        </references>
      </pivotArea>
    </format>
    <format dxfId="1653">
      <pivotArea dataOnly="0" labelOnly="1" outline="0" fieldPosition="0">
        <references count="4">
          <reference field="9" count="1" selected="0">
            <x v="40"/>
          </reference>
          <reference field="10" count="1" selected="0">
            <x v="44"/>
          </reference>
          <reference field="14" count="1">
            <x v="10"/>
          </reference>
          <reference field="18" count="1" selected="0">
            <x v="7"/>
          </reference>
        </references>
      </pivotArea>
    </format>
    <format dxfId="1652">
      <pivotArea dataOnly="0" labelOnly="1" outline="0" fieldPosition="0">
        <references count="4">
          <reference field="9" count="1" selected="0">
            <x v="40"/>
          </reference>
          <reference field="10" count="1" selected="0">
            <x v="44"/>
          </reference>
          <reference field="14" count="1">
            <x v="9"/>
          </reference>
          <reference field="18" count="1" selected="0">
            <x v="8"/>
          </reference>
        </references>
      </pivotArea>
    </format>
    <format dxfId="1651">
      <pivotArea dataOnly="0" labelOnly="1" outline="0" fieldPosition="0">
        <references count="4">
          <reference field="9" count="1" selected="0">
            <x v="40"/>
          </reference>
          <reference field="10" count="1" selected="0">
            <x v="44"/>
          </reference>
          <reference field="14" count="1">
            <x v="8"/>
          </reference>
          <reference field="18" count="1" selected="0">
            <x v="9"/>
          </reference>
        </references>
      </pivotArea>
    </format>
    <format dxfId="1650">
      <pivotArea dataOnly="0" labelOnly="1" outline="0" fieldPosition="0">
        <references count="4">
          <reference field="9" count="1" selected="0">
            <x v="40"/>
          </reference>
          <reference field="10" count="1" selected="0">
            <x v="44"/>
          </reference>
          <reference field="14" count="1">
            <x v="25"/>
          </reference>
          <reference field="18" count="1" selected="0">
            <x v="14"/>
          </reference>
        </references>
      </pivotArea>
    </format>
    <format dxfId="1649">
      <pivotArea dataOnly="0" labelOnly="1" outline="0" fieldPosition="0">
        <references count="4">
          <reference field="9" count="1" selected="0">
            <x v="40"/>
          </reference>
          <reference field="10" count="1" selected="0">
            <x v="44"/>
          </reference>
          <reference field="14" count="1">
            <x v="15"/>
          </reference>
          <reference field="18" count="1" selected="0">
            <x v="15"/>
          </reference>
        </references>
      </pivotArea>
    </format>
    <format dxfId="1648">
      <pivotArea dataOnly="0" labelOnly="1" outline="0" fieldPosition="0">
        <references count="4">
          <reference field="9" count="1" selected="0">
            <x v="40"/>
          </reference>
          <reference field="10" count="1" selected="0">
            <x v="44"/>
          </reference>
          <reference field="14" count="1">
            <x v="5"/>
          </reference>
          <reference field="18" count="1" selected="0">
            <x v="28"/>
          </reference>
        </references>
      </pivotArea>
    </format>
    <format dxfId="1647">
      <pivotArea dataOnly="0" labelOnly="1" outline="0" fieldPosition="0">
        <references count="4">
          <reference field="9" count="1" selected="0">
            <x v="41"/>
          </reference>
          <reference field="10" count="1" selected="0">
            <x v="48"/>
          </reference>
          <reference field="14" count="1">
            <x v="27"/>
          </reference>
          <reference field="18" count="1" selected="0">
            <x v="6"/>
          </reference>
        </references>
      </pivotArea>
    </format>
    <format dxfId="1646">
      <pivotArea dataOnly="0" labelOnly="1" outline="0" fieldPosition="0">
        <references count="4">
          <reference field="9" count="1" selected="0">
            <x v="41"/>
          </reference>
          <reference field="10" count="1" selected="0">
            <x v="48"/>
          </reference>
          <reference field="14" count="1">
            <x v="7"/>
          </reference>
          <reference field="18" count="1" selected="0">
            <x v="22"/>
          </reference>
        </references>
      </pivotArea>
    </format>
    <format dxfId="1645">
      <pivotArea dataOnly="0" labelOnly="1" outline="0" fieldPosition="0">
        <references count="4">
          <reference field="9" count="1" selected="0">
            <x v="42"/>
          </reference>
          <reference field="10" count="1" selected="0">
            <x v="52"/>
          </reference>
          <reference field="14" count="1">
            <x v="27"/>
          </reference>
          <reference field="18" count="1" selected="0">
            <x v="6"/>
          </reference>
        </references>
      </pivotArea>
    </format>
    <format dxfId="1644">
      <pivotArea dataOnly="0" labelOnly="1" outline="0" fieldPosition="0">
        <references count="4">
          <reference field="9" count="1" selected="0">
            <x v="43"/>
          </reference>
          <reference field="10" count="1" selected="0">
            <x v="9"/>
          </reference>
          <reference field="14" count="1">
            <x v="1"/>
          </reference>
          <reference field="18" count="1" selected="0">
            <x v="1"/>
          </reference>
        </references>
      </pivotArea>
    </format>
    <format dxfId="1643">
      <pivotArea dataOnly="0" labelOnly="1" outline="0" fieldPosition="0">
        <references count="4">
          <reference field="9" count="1" selected="0">
            <x v="43"/>
          </reference>
          <reference field="10" count="1" selected="0">
            <x v="9"/>
          </reference>
          <reference field="14" count="1">
            <x v="11"/>
          </reference>
          <reference field="18" count="1" selected="0">
            <x v="3"/>
          </reference>
        </references>
      </pivotArea>
    </format>
    <format dxfId="1642">
      <pivotArea dataOnly="0" labelOnly="1" outline="0" fieldPosition="0">
        <references count="4">
          <reference field="9" count="1" selected="0">
            <x v="43"/>
          </reference>
          <reference field="10" count="1" selected="0">
            <x v="9"/>
          </reference>
          <reference field="14" count="1">
            <x v="10"/>
          </reference>
          <reference field="18" count="1" selected="0">
            <x v="7"/>
          </reference>
        </references>
      </pivotArea>
    </format>
    <format dxfId="1641">
      <pivotArea dataOnly="0" labelOnly="1" outline="0" fieldPosition="0">
        <references count="4">
          <reference field="9" count="1" selected="0">
            <x v="43"/>
          </reference>
          <reference field="10" count="1" selected="0">
            <x v="9"/>
          </reference>
          <reference field="14" count="1">
            <x v="25"/>
          </reference>
          <reference field="18" count="1" selected="0">
            <x v="14"/>
          </reference>
        </references>
      </pivotArea>
    </format>
    <format dxfId="1640">
      <pivotArea dataOnly="0" labelOnly="1" outline="0" fieldPosition="0">
        <references count="4">
          <reference field="9" count="1" selected="0">
            <x v="43"/>
          </reference>
          <reference field="10" count="1" selected="0">
            <x v="9"/>
          </reference>
          <reference field="14" count="1">
            <x v="12"/>
          </reference>
          <reference field="18" count="1" selected="0">
            <x v="21"/>
          </reference>
        </references>
      </pivotArea>
    </format>
    <format dxfId="1639">
      <pivotArea dataOnly="0" labelOnly="1" outline="0" fieldPosition="0">
        <references count="4">
          <reference field="9" count="1" selected="0">
            <x v="43"/>
          </reference>
          <reference field="10" count="1" selected="0">
            <x v="9"/>
          </reference>
          <reference field="14" count="1">
            <x v="5"/>
          </reference>
          <reference field="18" count="1" selected="0">
            <x v="28"/>
          </reference>
        </references>
      </pivotArea>
    </format>
    <format dxfId="1638">
      <pivotArea dataOnly="0" labelOnly="1" outline="0" fieldPosition="0">
        <references count="4">
          <reference field="9" count="1" selected="0">
            <x v="43"/>
          </reference>
          <reference field="10" count="1" selected="0">
            <x v="9"/>
          </reference>
          <reference field="14" count="1">
            <x v="29"/>
          </reference>
          <reference field="18" count="1" selected="0">
            <x v="29"/>
          </reference>
        </references>
      </pivotArea>
    </format>
    <format dxfId="1637">
      <pivotArea dataOnly="0" labelOnly="1" outline="0" fieldPosition="0">
        <references count="4">
          <reference field="9" count="1" selected="0">
            <x v="44"/>
          </reference>
          <reference field="10" count="1" selected="0">
            <x v="13"/>
          </reference>
          <reference field="14" count="1">
            <x v="11"/>
          </reference>
          <reference field="18" count="1" selected="0">
            <x v="3"/>
          </reference>
        </references>
      </pivotArea>
    </format>
    <format dxfId="1636">
      <pivotArea dataOnly="0" labelOnly="1" outline="0" fieldPosition="0">
        <references count="4">
          <reference field="9" count="1" selected="0">
            <x v="45"/>
          </reference>
          <reference field="10" count="1" selected="0">
            <x v="17"/>
          </reference>
          <reference field="14" count="1">
            <x v="4"/>
          </reference>
          <reference field="18" count="1" selected="0">
            <x v="0"/>
          </reference>
        </references>
      </pivotArea>
    </format>
    <format dxfId="1635">
      <pivotArea dataOnly="0" labelOnly="1" outline="0" fieldPosition="0">
        <references count="4">
          <reference field="9" count="1" selected="0">
            <x v="45"/>
          </reference>
          <reference field="10" count="1" selected="0">
            <x v="17"/>
          </reference>
          <reference field="14" count="1">
            <x v="1"/>
          </reference>
          <reference field="18" count="1" selected="0">
            <x v="1"/>
          </reference>
        </references>
      </pivotArea>
    </format>
    <format dxfId="1634">
      <pivotArea dataOnly="0" labelOnly="1" outline="0" fieldPosition="0">
        <references count="4">
          <reference field="9" count="1" selected="0">
            <x v="45"/>
          </reference>
          <reference field="10" count="1" selected="0">
            <x v="17"/>
          </reference>
          <reference field="14" count="1">
            <x v="11"/>
          </reference>
          <reference field="18" count="1" selected="0">
            <x v="3"/>
          </reference>
        </references>
      </pivotArea>
    </format>
    <format dxfId="1633">
      <pivotArea dataOnly="0" labelOnly="1" outline="0" fieldPosition="0">
        <references count="4">
          <reference field="9" count="1" selected="0">
            <x v="45"/>
          </reference>
          <reference field="10" count="1" selected="0">
            <x v="17"/>
          </reference>
          <reference field="14" count="1">
            <x v="10"/>
          </reference>
          <reference field="18" count="1" selected="0">
            <x v="7"/>
          </reference>
        </references>
      </pivotArea>
    </format>
    <format dxfId="1632">
      <pivotArea dataOnly="0" labelOnly="1" outline="0" fieldPosition="0">
        <references count="4">
          <reference field="9" count="1" selected="0">
            <x v="45"/>
          </reference>
          <reference field="10" count="1" selected="0">
            <x v="17"/>
          </reference>
          <reference field="14" count="1">
            <x v="9"/>
          </reference>
          <reference field="18" count="1" selected="0">
            <x v="8"/>
          </reference>
        </references>
      </pivotArea>
    </format>
    <format dxfId="1631">
      <pivotArea dataOnly="0" labelOnly="1" outline="0" fieldPosition="0">
        <references count="4">
          <reference field="9" count="1" selected="0">
            <x v="45"/>
          </reference>
          <reference field="10" count="1" selected="0">
            <x v="17"/>
          </reference>
          <reference field="14" count="1">
            <x v="8"/>
          </reference>
          <reference field="18" count="1" selected="0">
            <x v="9"/>
          </reference>
        </references>
      </pivotArea>
    </format>
    <format dxfId="1630">
      <pivotArea dataOnly="0" labelOnly="1" outline="0" fieldPosition="0">
        <references count="4">
          <reference field="9" count="1" selected="0">
            <x v="45"/>
          </reference>
          <reference field="10" count="1" selected="0">
            <x v="17"/>
          </reference>
          <reference field="14" count="1">
            <x v="17"/>
          </reference>
          <reference field="18" count="1" selected="0">
            <x v="11"/>
          </reference>
        </references>
      </pivotArea>
    </format>
    <format dxfId="1629">
      <pivotArea dataOnly="0" labelOnly="1" outline="0" fieldPosition="0">
        <references count="4">
          <reference field="9" count="1" selected="0">
            <x v="45"/>
          </reference>
          <reference field="10" count="1" selected="0">
            <x v="17"/>
          </reference>
          <reference field="14" count="1">
            <x v="16"/>
          </reference>
          <reference field="18" count="1" selected="0">
            <x v="12"/>
          </reference>
        </references>
      </pivotArea>
    </format>
    <format dxfId="1628">
      <pivotArea dataOnly="0" labelOnly="1" outline="0" fieldPosition="0">
        <references count="4">
          <reference field="9" count="1" selected="0">
            <x v="45"/>
          </reference>
          <reference field="10" count="1" selected="0">
            <x v="17"/>
          </reference>
          <reference field="14" count="1">
            <x v="18"/>
          </reference>
          <reference field="18" count="1" selected="0">
            <x v="13"/>
          </reference>
        </references>
      </pivotArea>
    </format>
    <format dxfId="1627">
      <pivotArea dataOnly="0" labelOnly="1" outline="0" fieldPosition="0">
        <references count="4">
          <reference field="9" count="1" selected="0">
            <x v="45"/>
          </reference>
          <reference field="10" count="1" selected="0">
            <x v="17"/>
          </reference>
          <reference field="14" count="1">
            <x v="25"/>
          </reference>
          <reference field="18" count="1" selected="0">
            <x v="14"/>
          </reference>
        </references>
      </pivotArea>
    </format>
    <format dxfId="1626">
      <pivotArea dataOnly="0" labelOnly="1" outline="0" fieldPosition="0">
        <references count="4">
          <reference field="9" count="1" selected="0">
            <x v="45"/>
          </reference>
          <reference field="10" count="1" selected="0">
            <x v="17"/>
          </reference>
          <reference field="14" count="1">
            <x v="19"/>
          </reference>
          <reference field="18" count="1" selected="0">
            <x v="16"/>
          </reference>
        </references>
      </pivotArea>
    </format>
    <format dxfId="1625">
      <pivotArea dataOnly="0" labelOnly="1" outline="0" fieldPosition="0">
        <references count="4">
          <reference field="9" count="1" selected="0">
            <x v="45"/>
          </reference>
          <reference field="10" count="1" selected="0">
            <x v="17"/>
          </reference>
          <reference field="14" count="1">
            <x v="14"/>
          </reference>
          <reference field="18" count="1" selected="0">
            <x v="18"/>
          </reference>
        </references>
      </pivotArea>
    </format>
    <format dxfId="1624">
      <pivotArea dataOnly="0" labelOnly="1" outline="0" fieldPosition="0">
        <references count="4">
          <reference field="9" count="1" selected="0">
            <x v="45"/>
          </reference>
          <reference field="10" count="1" selected="0">
            <x v="17"/>
          </reference>
          <reference field="14" count="1">
            <x v="7"/>
          </reference>
          <reference field="18" count="1" selected="0">
            <x v="22"/>
          </reference>
        </references>
      </pivotArea>
    </format>
    <format dxfId="1623">
      <pivotArea dataOnly="0" labelOnly="1" outline="0" fieldPosition="0">
        <references count="4">
          <reference field="9" count="1" selected="0">
            <x v="45"/>
          </reference>
          <reference field="10" count="1" selected="0">
            <x v="17"/>
          </reference>
          <reference field="14" count="1">
            <x v="21"/>
          </reference>
          <reference field="18" count="1" selected="0">
            <x v="27"/>
          </reference>
        </references>
      </pivotArea>
    </format>
    <format dxfId="1622">
      <pivotArea dataOnly="0" labelOnly="1" outline="0" fieldPosition="0">
        <references count="4">
          <reference field="9" count="1" selected="0">
            <x v="45"/>
          </reference>
          <reference field="10" count="1" selected="0">
            <x v="17"/>
          </reference>
          <reference field="14" count="1">
            <x v="5"/>
          </reference>
          <reference field="18" count="1" selected="0">
            <x v="28"/>
          </reference>
        </references>
      </pivotArea>
    </format>
    <format dxfId="1621">
      <pivotArea dataOnly="0" labelOnly="1" outline="0" fieldPosition="0">
        <references count="4">
          <reference field="9" count="1" selected="0">
            <x v="45"/>
          </reference>
          <reference field="10" count="1" selected="0">
            <x v="17"/>
          </reference>
          <reference field="14" count="1">
            <x v="29"/>
          </reference>
          <reference field="18" count="1" selected="0">
            <x v="29"/>
          </reference>
        </references>
      </pivotArea>
    </format>
    <format dxfId="1620">
      <pivotArea dataOnly="0" labelOnly="1" outline="0" fieldPosition="0">
        <references count="4">
          <reference field="9" count="1" selected="0">
            <x v="45"/>
          </reference>
          <reference field="10" count="1" selected="0">
            <x v="17"/>
          </reference>
          <reference field="14" count="1">
            <x v="26"/>
          </reference>
          <reference field="18" count="1" selected="0">
            <x v="30"/>
          </reference>
        </references>
      </pivotArea>
    </format>
    <format dxfId="1619">
      <pivotArea dataOnly="0" labelOnly="1" outline="0" fieldPosition="0">
        <references count="4">
          <reference field="9" count="1" selected="0">
            <x v="46"/>
          </reference>
          <reference field="10" count="1" selected="0">
            <x v="21"/>
          </reference>
          <reference field="14" count="1">
            <x v="27"/>
          </reference>
          <reference field="18" count="1" selected="0">
            <x v="6"/>
          </reference>
        </references>
      </pivotArea>
    </format>
    <format dxfId="1618">
      <pivotArea dataOnly="0" labelOnly="1" outline="0" fieldPosition="0">
        <references count="4">
          <reference field="9" count="1" selected="0">
            <x v="47"/>
          </reference>
          <reference field="10" count="1" selected="0">
            <x v="25"/>
          </reference>
          <reference field="14" count="1">
            <x v="19"/>
          </reference>
          <reference field="18" count="1" selected="0">
            <x v="16"/>
          </reference>
        </references>
      </pivotArea>
    </format>
    <format dxfId="1617">
      <pivotArea dataOnly="0" labelOnly="1" outline="0" fieldPosition="0">
        <references count="4">
          <reference field="9" count="1" selected="0">
            <x v="47"/>
          </reference>
          <reference field="10" count="1" selected="0">
            <x v="25"/>
          </reference>
          <reference field="14" count="1">
            <x v="26"/>
          </reference>
          <reference field="18" count="1" selected="0">
            <x v="30"/>
          </reference>
        </references>
      </pivotArea>
    </format>
    <format dxfId="1616">
      <pivotArea dataOnly="0" labelOnly="1" outline="0" fieldPosition="0">
        <references count="4">
          <reference field="9" count="1" selected="0">
            <x v="48"/>
          </reference>
          <reference field="10" count="1" selected="0">
            <x v="29"/>
          </reference>
          <reference field="14" count="1">
            <x v="11"/>
          </reference>
          <reference field="18" count="1" selected="0">
            <x v="3"/>
          </reference>
        </references>
      </pivotArea>
    </format>
    <format dxfId="1615">
      <pivotArea dataOnly="0" labelOnly="1" outline="0" fieldPosition="0">
        <references count="4">
          <reference field="9" count="1" selected="0">
            <x v="48"/>
          </reference>
          <reference field="10" count="1" selected="0">
            <x v="29"/>
          </reference>
          <reference field="14" count="1">
            <x v="28"/>
          </reference>
          <reference field="18" count="1" selected="0">
            <x v="5"/>
          </reference>
        </references>
      </pivotArea>
    </format>
    <format dxfId="1614">
      <pivotArea dataOnly="0" labelOnly="1" outline="0" fieldPosition="0">
        <references count="4">
          <reference field="9" count="1" selected="0">
            <x v="48"/>
          </reference>
          <reference field="10" count="1" selected="0">
            <x v="29"/>
          </reference>
          <reference field="14" count="1">
            <x v="10"/>
          </reference>
          <reference field="18" count="1" selected="0">
            <x v="7"/>
          </reference>
        </references>
      </pivotArea>
    </format>
    <format dxfId="1613">
      <pivotArea dataOnly="0" labelOnly="1" outline="0" fieldPosition="0">
        <references count="4">
          <reference field="9" count="1" selected="0">
            <x v="48"/>
          </reference>
          <reference field="10" count="1" selected="0">
            <x v="29"/>
          </reference>
          <reference field="14" count="1">
            <x v="25"/>
          </reference>
          <reference field="18" count="1" selected="0">
            <x v="14"/>
          </reference>
        </references>
      </pivotArea>
    </format>
    <format dxfId="1612">
      <pivotArea dataOnly="0" labelOnly="1" outline="0" fieldPosition="0">
        <references count="4">
          <reference field="9" count="1" selected="0">
            <x v="48"/>
          </reference>
          <reference field="10" count="1" selected="0">
            <x v="29"/>
          </reference>
          <reference field="14" count="1">
            <x v="19"/>
          </reference>
          <reference field="18" count="1" selected="0">
            <x v="16"/>
          </reference>
        </references>
      </pivotArea>
    </format>
    <format dxfId="1611">
      <pivotArea dataOnly="0" labelOnly="1" outline="0" fieldPosition="0">
        <references count="4">
          <reference field="9" count="1" selected="0">
            <x v="48"/>
          </reference>
          <reference field="10" count="1" selected="0">
            <x v="29"/>
          </reference>
          <reference field="14" count="1">
            <x v="24"/>
          </reference>
          <reference field="18" count="1" selected="0">
            <x v="19"/>
          </reference>
        </references>
      </pivotArea>
    </format>
    <format dxfId="1610">
      <pivotArea dataOnly="0" labelOnly="1" outline="0" fieldPosition="0">
        <references count="4">
          <reference field="9" count="1" selected="0">
            <x v="48"/>
          </reference>
          <reference field="10" count="1" selected="0">
            <x v="29"/>
          </reference>
          <reference field="14" count="1">
            <x v="22"/>
          </reference>
          <reference field="18" count="1" selected="0">
            <x v="25"/>
          </reference>
        </references>
      </pivotArea>
    </format>
    <format dxfId="1609">
      <pivotArea dataOnly="0" labelOnly="1" outline="0" fieldPosition="0">
        <references count="4">
          <reference field="9" count="1" selected="0">
            <x v="48"/>
          </reference>
          <reference field="10" count="1" selected="0">
            <x v="29"/>
          </reference>
          <reference field="14" count="1">
            <x v="5"/>
          </reference>
          <reference field="18" count="1" selected="0">
            <x v="28"/>
          </reference>
        </references>
      </pivotArea>
    </format>
    <format dxfId="1608">
      <pivotArea dataOnly="0" labelOnly="1" outline="0" fieldPosition="0">
        <references count="4">
          <reference field="9" count="1" selected="0">
            <x v="49"/>
          </reference>
          <reference field="10" count="1" selected="0">
            <x v="33"/>
          </reference>
          <reference field="14" count="1">
            <x v="7"/>
          </reference>
          <reference field="18" count="1" selected="0">
            <x v="22"/>
          </reference>
        </references>
      </pivotArea>
    </format>
    <format dxfId="1607">
      <pivotArea dataOnly="0" labelOnly="1" outline="0" fieldPosition="0">
        <references count="4">
          <reference field="9" count="1" selected="0">
            <x v="50"/>
          </reference>
          <reference field="10" count="1" selected="0">
            <x v="37"/>
          </reference>
          <reference field="14" count="1">
            <x v="4"/>
          </reference>
          <reference field="18" count="1" selected="0">
            <x v="0"/>
          </reference>
        </references>
      </pivotArea>
    </format>
    <format dxfId="1606">
      <pivotArea dataOnly="0" labelOnly="1" outline="0" fieldPosition="0">
        <references count="4">
          <reference field="9" count="1" selected="0">
            <x v="50"/>
          </reference>
          <reference field="10" count="1" selected="0">
            <x v="37"/>
          </reference>
          <reference field="14" count="1">
            <x v="17"/>
          </reference>
          <reference field="18" count="1" selected="0">
            <x v="11"/>
          </reference>
        </references>
      </pivotArea>
    </format>
    <format dxfId="1605">
      <pivotArea dataOnly="0" labelOnly="1" outline="0" fieldPosition="0">
        <references count="4">
          <reference field="9" count="1" selected="0">
            <x v="50"/>
          </reference>
          <reference field="10" count="1" selected="0">
            <x v="37"/>
          </reference>
          <reference field="14" count="1">
            <x v="18"/>
          </reference>
          <reference field="18" count="1" selected="0">
            <x v="13"/>
          </reference>
        </references>
      </pivotArea>
    </format>
    <format dxfId="1604">
      <pivotArea dataOnly="0" labelOnly="1" outline="0" fieldPosition="0">
        <references count="4">
          <reference field="9" count="1" selected="0">
            <x v="50"/>
          </reference>
          <reference field="10" count="1" selected="0">
            <x v="37"/>
          </reference>
          <reference field="14" count="1">
            <x v="21"/>
          </reference>
          <reference field="18" count="1" selected="0">
            <x v="27"/>
          </reference>
        </references>
      </pivotArea>
    </format>
    <format dxfId="1603">
      <pivotArea dataOnly="0" labelOnly="1" outline="0" fieldPosition="0">
        <references count="4">
          <reference field="9" count="1" selected="0">
            <x v="50"/>
          </reference>
          <reference field="10" count="1" selected="0">
            <x v="37"/>
          </reference>
          <reference field="14" count="1">
            <x v="29"/>
          </reference>
          <reference field="18" count="1" selected="0">
            <x v="29"/>
          </reference>
        </references>
      </pivotArea>
    </format>
    <format dxfId="1602">
      <pivotArea dataOnly="0" labelOnly="1" outline="0" fieldPosition="0">
        <references count="4">
          <reference field="9" count="1" selected="0">
            <x v="51"/>
          </reference>
          <reference field="10" count="1" selected="0">
            <x v="41"/>
          </reference>
          <reference field="14" count="1">
            <x v="1"/>
          </reference>
          <reference field="18" count="1" selected="0">
            <x v="1"/>
          </reference>
        </references>
      </pivotArea>
    </format>
    <format dxfId="1601">
      <pivotArea dataOnly="0" labelOnly="1" outline="0" fieldPosition="0">
        <references count="4">
          <reference field="9" count="1" selected="0">
            <x v="51"/>
          </reference>
          <reference field="10" count="1" selected="0">
            <x v="41"/>
          </reference>
          <reference field="14" count="1">
            <x v="11"/>
          </reference>
          <reference field="18" count="1" selected="0">
            <x v="3"/>
          </reference>
        </references>
      </pivotArea>
    </format>
    <format dxfId="1600">
      <pivotArea dataOnly="0" labelOnly="1" outline="0" fieldPosition="0">
        <references count="4">
          <reference field="9" count="1" selected="0">
            <x v="51"/>
          </reference>
          <reference field="10" count="1" selected="0">
            <x v="41"/>
          </reference>
          <reference field="14" count="1">
            <x v="10"/>
          </reference>
          <reference field="18" count="1" selected="0">
            <x v="7"/>
          </reference>
        </references>
      </pivotArea>
    </format>
    <format dxfId="1599">
      <pivotArea dataOnly="0" labelOnly="1" outline="0" fieldPosition="0">
        <references count="4">
          <reference field="9" count="1" selected="0">
            <x v="51"/>
          </reference>
          <reference field="10" count="1" selected="0">
            <x v="41"/>
          </reference>
          <reference field="14" count="1">
            <x v="8"/>
          </reference>
          <reference field="18" count="1" selected="0">
            <x v="9"/>
          </reference>
        </references>
      </pivotArea>
    </format>
    <format dxfId="1598">
      <pivotArea dataOnly="0" labelOnly="1" outline="0" fieldPosition="0">
        <references count="4">
          <reference field="9" count="1" selected="0">
            <x v="51"/>
          </reference>
          <reference field="10" count="1" selected="0">
            <x v="41"/>
          </reference>
          <reference field="14" count="1">
            <x v="16"/>
          </reference>
          <reference field="18" count="1" selected="0">
            <x v="12"/>
          </reference>
        </references>
      </pivotArea>
    </format>
    <format dxfId="1597">
      <pivotArea dataOnly="0" labelOnly="1" outline="0" fieldPosition="0">
        <references count="4">
          <reference field="9" count="1" selected="0">
            <x v="51"/>
          </reference>
          <reference field="10" count="1" selected="0">
            <x v="41"/>
          </reference>
          <reference field="14" count="1">
            <x v="14"/>
          </reference>
          <reference field="18" count="1" selected="0">
            <x v="18"/>
          </reference>
        </references>
      </pivotArea>
    </format>
    <format dxfId="1596">
      <pivotArea dataOnly="0" labelOnly="1" outline="0" fieldPosition="0">
        <references count="4">
          <reference field="9" count="1" selected="0">
            <x v="51"/>
          </reference>
          <reference field="10" count="1" selected="0">
            <x v="41"/>
          </reference>
          <reference field="14" count="1">
            <x v="22"/>
          </reference>
          <reference field="18" count="1" selected="0">
            <x v="25"/>
          </reference>
        </references>
      </pivotArea>
    </format>
    <format dxfId="1595">
      <pivotArea dataOnly="0" labelOnly="1" outline="0" fieldPosition="0">
        <references count="4">
          <reference field="9" count="1" selected="0">
            <x v="51"/>
          </reference>
          <reference field="10" count="1" selected="0">
            <x v="41"/>
          </reference>
          <reference field="14" count="1">
            <x v="5"/>
          </reference>
          <reference field="18" count="1" selected="0">
            <x v="28"/>
          </reference>
        </references>
      </pivotArea>
    </format>
    <format dxfId="1594">
      <pivotArea dataOnly="0" labelOnly="1" outline="0" fieldPosition="0">
        <references count="4">
          <reference field="9" count="1" selected="0">
            <x v="52"/>
          </reference>
          <reference field="10" count="1" selected="0">
            <x v="45"/>
          </reference>
          <reference field="14" count="1">
            <x v="27"/>
          </reference>
          <reference field="18" count="1" selected="0">
            <x v="6"/>
          </reference>
        </references>
      </pivotArea>
    </format>
    <format dxfId="1593">
      <pivotArea dataOnly="0" labelOnly="1" outline="0" fieldPosition="0">
        <references count="4">
          <reference field="9" count="1" selected="0">
            <x v="52"/>
          </reference>
          <reference field="10" count="1" selected="0">
            <x v="45"/>
          </reference>
          <reference field="14" count="1">
            <x v="7"/>
          </reference>
          <reference field="18" count="1" selected="0">
            <x v="22"/>
          </reference>
        </references>
      </pivotArea>
    </format>
    <format dxfId="1592">
      <pivotArea dataOnly="0" labelOnly="1" outline="0" fieldPosition="0">
        <references count="4">
          <reference field="9" count="1" selected="0">
            <x v="53"/>
          </reference>
          <reference field="10" count="1" selected="0">
            <x v="49"/>
          </reference>
          <reference field="14" count="1">
            <x v="27"/>
          </reference>
          <reference field="18" count="1" selected="0">
            <x v="6"/>
          </reference>
        </references>
      </pivotArea>
    </format>
    <format dxfId="1591">
      <pivotArea dataOnly="0" labelOnly="1" outline="0" fieldPosition="0">
        <references count="4">
          <reference field="9" count="1" selected="0">
            <x v="54"/>
          </reference>
          <reference field="10" count="1" selected="0">
            <x v="4"/>
          </reference>
          <reference field="14" count="1">
            <x v="15"/>
          </reference>
          <reference field="18" count="1" selected="0">
            <x v="15"/>
          </reference>
        </references>
      </pivotArea>
    </format>
    <format dxfId="1590">
      <pivotArea dataOnly="0" labelOnly="1" outline="0" fieldPosition="0">
        <references count="4">
          <reference field="9" count="1" selected="0">
            <x v="55"/>
          </reference>
          <reference field="10" count="1" selected="0">
            <x v="5"/>
          </reference>
          <reference field="14" count="1">
            <x v="11"/>
          </reference>
          <reference field="18" count="1" selected="0">
            <x v="3"/>
          </reference>
        </references>
      </pivotArea>
    </format>
    <format dxfId="1589">
      <pivotArea dataOnly="0" labelOnly="1" outline="0" fieldPosition="0">
        <references count="4">
          <reference field="9" count="1" selected="0">
            <x v="55"/>
          </reference>
          <reference field="10" count="1" selected="0">
            <x v="5"/>
          </reference>
          <reference field="14" count="1">
            <x v="28"/>
          </reference>
          <reference field="18" count="1" selected="0">
            <x v="5"/>
          </reference>
        </references>
      </pivotArea>
    </format>
    <format dxfId="1588">
      <pivotArea dataOnly="0" labelOnly="1" outline="0" fieldPosition="0">
        <references count="4">
          <reference field="9" count="1" selected="0">
            <x v="55"/>
          </reference>
          <reference field="10" count="1" selected="0">
            <x v="5"/>
          </reference>
          <reference field="14" count="1">
            <x v="27"/>
          </reference>
          <reference field="18" count="1" selected="0">
            <x v="6"/>
          </reference>
        </references>
      </pivotArea>
    </format>
    <format dxfId="1587">
      <pivotArea dataOnly="0" labelOnly="1" outline="0" fieldPosition="0">
        <references count="4">
          <reference field="9" count="1" selected="0">
            <x v="55"/>
          </reference>
          <reference field="10" count="1" selected="0">
            <x v="5"/>
          </reference>
          <reference field="14" count="1">
            <x v="10"/>
          </reference>
          <reference field="18" count="1" selected="0">
            <x v="7"/>
          </reference>
        </references>
      </pivotArea>
    </format>
    <format dxfId="1586">
      <pivotArea dataOnly="0" labelOnly="1" outline="0" fieldPosition="0">
        <references count="4">
          <reference field="9" count="1" selected="0">
            <x v="55"/>
          </reference>
          <reference field="10" count="1" selected="0">
            <x v="5"/>
          </reference>
          <reference field="14" count="1">
            <x v="17"/>
          </reference>
          <reference field="18" count="1" selected="0">
            <x v="11"/>
          </reference>
        </references>
      </pivotArea>
    </format>
    <format dxfId="1585">
      <pivotArea dataOnly="0" labelOnly="1" outline="0" fieldPosition="0">
        <references count="4">
          <reference field="9" count="1" selected="0">
            <x v="55"/>
          </reference>
          <reference field="10" count="1" selected="0">
            <x v="5"/>
          </reference>
          <reference field="14" count="1">
            <x v="18"/>
          </reference>
          <reference field="18" count="1" selected="0">
            <x v="13"/>
          </reference>
        </references>
      </pivotArea>
    </format>
    <format dxfId="1584">
      <pivotArea dataOnly="0" labelOnly="1" outline="0" fieldPosition="0">
        <references count="4">
          <reference field="9" count="1" selected="0">
            <x v="55"/>
          </reference>
          <reference field="10" count="1" selected="0">
            <x v="5"/>
          </reference>
          <reference field="14" count="1">
            <x v="24"/>
          </reference>
          <reference field="18" count="1" selected="0">
            <x v="19"/>
          </reference>
        </references>
      </pivotArea>
    </format>
    <format dxfId="1583">
      <pivotArea dataOnly="0" labelOnly="1" outline="0" fieldPosition="0">
        <references count="4">
          <reference field="9" count="1" selected="0">
            <x v="55"/>
          </reference>
          <reference field="10" count="1" selected="0">
            <x v="5"/>
          </reference>
          <reference field="14" count="1">
            <x v="12"/>
          </reference>
          <reference field="18" count="1" selected="0">
            <x v="21"/>
          </reference>
        </references>
      </pivotArea>
    </format>
    <format dxfId="1582">
      <pivotArea dataOnly="0" labelOnly="1" outline="0" fieldPosition="0">
        <references count="4">
          <reference field="9" count="1" selected="0">
            <x v="55"/>
          </reference>
          <reference field="10" count="1" selected="0">
            <x v="5"/>
          </reference>
          <reference field="14" count="1">
            <x v="21"/>
          </reference>
          <reference field="18" count="1" selected="0">
            <x v="27"/>
          </reference>
        </references>
      </pivotArea>
    </format>
    <format dxfId="1581">
      <pivotArea dataOnly="0" labelOnly="1" outline="0" fieldPosition="0">
        <references count="4">
          <reference field="9" count="1" selected="0">
            <x v="56"/>
          </reference>
          <reference field="10" count="1" selected="0">
            <x v="6"/>
          </reference>
          <reference field="14" count="1">
            <x v="11"/>
          </reference>
          <reference field="18" count="1" selected="0">
            <x v="3"/>
          </reference>
        </references>
      </pivotArea>
    </format>
    <format dxfId="1580">
      <pivotArea dataOnly="0" labelOnly="1" outline="0" fieldPosition="0">
        <references count="4">
          <reference field="9" count="1" selected="0">
            <x v="56"/>
          </reference>
          <reference field="10" count="1" selected="0">
            <x v="6"/>
          </reference>
          <reference field="14" count="1">
            <x v="28"/>
          </reference>
          <reference field="18" count="1" selected="0">
            <x v="5"/>
          </reference>
        </references>
      </pivotArea>
    </format>
    <format dxfId="1579">
      <pivotArea dataOnly="0" labelOnly="1" outline="0" fieldPosition="0">
        <references count="4">
          <reference field="9" count="1" selected="0">
            <x v="56"/>
          </reference>
          <reference field="10" count="1" selected="0">
            <x v="6"/>
          </reference>
          <reference field="14" count="1">
            <x v="27"/>
          </reference>
          <reference field="18" count="1" selected="0">
            <x v="6"/>
          </reference>
        </references>
      </pivotArea>
    </format>
    <format dxfId="1578">
      <pivotArea dataOnly="0" labelOnly="1" outline="0" fieldPosition="0">
        <references count="4">
          <reference field="9" count="1" selected="0">
            <x v="56"/>
          </reference>
          <reference field="10" count="1" selected="0">
            <x v="6"/>
          </reference>
          <reference field="14" count="1">
            <x v="10"/>
          </reference>
          <reference field="18" count="1" selected="0">
            <x v="7"/>
          </reference>
        </references>
      </pivotArea>
    </format>
    <format dxfId="1577">
      <pivotArea dataOnly="0" labelOnly="1" outline="0" fieldPosition="0">
        <references count="4">
          <reference field="9" count="1" selected="0">
            <x v="56"/>
          </reference>
          <reference field="10" count="1" selected="0">
            <x v="6"/>
          </reference>
          <reference field="14" count="1">
            <x v="9"/>
          </reference>
          <reference field="18" count="1" selected="0">
            <x v="8"/>
          </reference>
        </references>
      </pivotArea>
    </format>
    <format dxfId="1576">
      <pivotArea dataOnly="0" labelOnly="1" outline="0" fieldPosition="0">
        <references count="4">
          <reference field="9" count="1" selected="0">
            <x v="56"/>
          </reference>
          <reference field="10" count="1" selected="0">
            <x v="6"/>
          </reference>
          <reference field="14" count="1">
            <x v="17"/>
          </reference>
          <reference field="18" count="1" selected="0">
            <x v="11"/>
          </reference>
        </references>
      </pivotArea>
    </format>
    <format dxfId="1575">
      <pivotArea dataOnly="0" labelOnly="1" outline="0" fieldPosition="0">
        <references count="4">
          <reference field="9" count="1" selected="0">
            <x v="56"/>
          </reference>
          <reference field="10" count="1" selected="0">
            <x v="6"/>
          </reference>
          <reference field="14" count="1">
            <x v="18"/>
          </reference>
          <reference field="18" count="1" selected="0">
            <x v="13"/>
          </reference>
        </references>
      </pivotArea>
    </format>
    <format dxfId="1574">
      <pivotArea dataOnly="0" labelOnly="1" outline="0" fieldPosition="0">
        <references count="4">
          <reference field="9" count="1" selected="0">
            <x v="56"/>
          </reference>
          <reference field="10" count="1" selected="0">
            <x v="6"/>
          </reference>
          <reference field="14" count="1">
            <x v="7"/>
          </reference>
          <reference field="18" count="1" selected="0">
            <x v="22"/>
          </reference>
        </references>
      </pivotArea>
    </format>
    <format dxfId="1573">
      <pivotArea dataOnly="0" labelOnly="1" outline="0" fieldPosition="0">
        <references count="4">
          <reference field="9" count="1" selected="0">
            <x v="56"/>
          </reference>
          <reference field="10" count="1" selected="0">
            <x v="6"/>
          </reference>
          <reference field="14" count="1">
            <x v="21"/>
          </reference>
          <reference field="18" count="1" selected="0">
            <x v="27"/>
          </reference>
        </references>
      </pivotArea>
    </format>
    <format dxfId="1572">
      <pivotArea dataOnly="0" labelOnly="1" outline="0" fieldPosition="0">
        <references count="4">
          <reference field="9" count="1" selected="0">
            <x v="57"/>
          </reference>
          <reference field="10" count="1" selected="0">
            <x v="7"/>
          </reference>
          <reference field="14" count="1">
            <x v="11"/>
          </reference>
          <reference field="18" count="1" selected="0">
            <x v="3"/>
          </reference>
        </references>
      </pivotArea>
    </format>
    <format dxfId="1571">
      <pivotArea dataOnly="0" labelOnly="1" outline="0" fieldPosition="0">
        <references count="4">
          <reference field="9" count="1" selected="0">
            <x v="57"/>
          </reference>
          <reference field="10" count="1" selected="0">
            <x v="7"/>
          </reference>
          <reference field="14" count="1">
            <x v="28"/>
          </reference>
          <reference field="18" count="1" selected="0">
            <x v="5"/>
          </reference>
        </references>
      </pivotArea>
    </format>
    <format dxfId="1570">
      <pivotArea dataOnly="0" labelOnly="1" outline="0" fieldPosition="0">
        <references count="4">
          <reference field="9" count="1" selected="0">
            <x v="57"/>
          </reference>
          <reference field="10" count="1" selected="0">
            <x v="7"/>
          </reference>
          <reference field="14" count="1">
            <x v="27"/>
          </reference>
          <reference field="18" count="1" selected="0">
            <x v="6"/>
          </reference>
        </references>
      </pivotArea>
    </format>
    <format dxfId="1569">
      <pivotArea dataOnly="0" labelOnly="1" outline="0" fieldPosition="0">
        <references count="4">
          <reference field="9" count="1" selected="0">
            <x v="57"/>
          </reference>
          <reference field="10" count="1" selected="0">
            <x v="7"/>
          </reference>
          <reference field="14" count="1">
            <x v="10"/>
          </reference>
          <reference field="18" count="1" selected="0">
            <x v="7"/>
          </reference>
        </references>
      </pivotArea>
    </format>
    <format dxfId="1568">
      <pivotArea dataOnly="0" labelOnly="1" outline="0" fieldPosition="0">
        <references count="4">
          <reference field="9" count="1" selected="0">
            <x v="57"/>
          </reference>
          <reference field="10" count="1" selected="0">
            <x v="7"/>
          </reference>
          <reference field="14" count="1">
            <x v="17"/>
          </reference>
          <reference field="18" count="1" selected="0">
            <x v="11"/>
          </reference>
        </references>
      </pivotArea>
    </format>
    <format dxfId="1567">
      <pivotArea dataOnly="0" labelOnly="1" outline="0" fieldPosition="0">
        <references count="4">
          <reference field="9" count="1" selected="0">
            <x v="57"/>
          </reference>
          <reference field="10" count="1" selected="0">
            <x v="7"/>
          </reference>
          <reference field="14" count="1">
            <x v="18"/>
          </reference>
          <reference field="18" count="1" selected="0">
            <x v="13"/>
          </reference>
        </references>
      </pivotArea>
    </format>
    <format dxfId="1566">
      <pivotArea dataOnly="0" labelOnly="1" outline="0" fieldPosition="0">
        <references count="4">
          <reference field="9" count="1" selected="0">
            <x v="57"/>
          </reference>
          <reference field="10" count="1" selected="0">
            <x v="7"/>
          </reference>
          <reference field="14" count="1">
            <x v="15"/>
          </reference>
          <reference field="18" count="1" selected="0">
            <x v="15"/>
          </reference>
        </references>
      </pivotArea>
    </format>
    <format dxfId="1565">
      <pivotArea dataOnly="0" labelOnly="1" outline="0" fieldPosition="0">
        <references count="4">
          <reference field="9" count="1" selected="0">
            <x v="57"/>
          </reference>
          <reference field="10" count="1" selected="0">
            <x v="7"/>
          </reference>
          <reference field="14" count="1">
            <x v="19"/>
          </reference>
          <reference field="18" count="1" selected="0">
            <x v="16"/>
          </reference>
        </references>
      </pivotArea>
    </format>
    <format dxfId="1564">
      <pivotArea dataOnly="0" labelOnly="1" outline="0" fieldPosition="0">
        <references count="4">
          <reference field="9" count="1" selected="0">
            <x v="57"/>
          </reference>
          <reference field="10" count="1" selected="0">
            <x v="7"/>
          </reference>
          <reference field="14" count="1">
            <x v="7"/>
          </reference>
          <reference field="18" count="1" selected="0">
            <x v="22"/>
          </reference>
        </references>
      </pivotArea>
    </format>
    <format dxfId="1563">
      <pivotArea dataOnly="0" labelOnly="1" outline="0" fieldPosition="0">
        <references count="4">
          <reference field="9" count="1" selected="0">
            <x v="57"/>
          </reference>
          <reference field="10" count="1" selected="0">
            <x v="7"/>
          </reference>
          <reference field="14" count="1">
            <x v="21"/>
          </reference>
          <reference field="18" count="1" selected="0">
            <x v="27"/>
          </reference>
        </references>
      </pivotArea>
    </format>
    <format dxfId="1562">
      <pivotArea dataOnly="0" labelOnly="1" outline="0" fieldPosition="0">
        <references count="4">
          <reference field="9" count="1" selected="0">
            <x v="58"/>
          </reference>
          <reference field="10" count="1" selected="0">
            <x v="0"/>
          </reference>
          <reference field="14" count="1">
            <x v="4"/>
          </reference>
          <reference field="18" count="1" selected="0">
            <x v="0"/>
          </reference>
        </references>
      </pivotArea>
    </format>
    <format dxfId="1561">
      <pivotArea dataOnly="0" labelOnly="1" outline="0" fieldPosition="0">
        <references count="4">
          <reference field="9" count="1" selected="0">
            <x v="58"/>
          </reference>
          <reference field="10" count="1" selected="0">
            <x v="0"/>
          </reference>
          <reference field="14" count="1">
            <x v="11"/>
          </reference>
          <reference field="18" count="1" selected="0">
            <x v="3"/>
          </reference>
        </references>
      </pivotArea>
    </format>
    <format dxfId="1560">
      <pivotArea dataOnly="0" labelOnly="1" outline="0" fieldPosition="0">
        <references count="4">
          <reference field="9" count="1" selected="0">
            <x v="58"/>
          </reference>
          <reference field="10" count="1" selected="0">
            <x v="0"/>
          </reference>
          <reference field="14" count="1">
            <x v="28"/>
          </reference>
          <reference field="18" count="1" selected="0">
            <x v="5"/>
          </reference>
        </references>
      </pivotArea>
    </format>
    <format dxfId="1559">
      <pivotArea dataOnly="0" labelOnly="1" outline="0" fieldPosition="0">
        <references count="4">
          <reference field="9" count="1" selected="0">
            <x v="58"/>
          </reference>
          <reference field="10" count="1" selected="0">
            <x v="0"/>
          </reference>
          <reference field="14" count="1">
            <x v="9"/>
          </reference>
          <reference field="18" count="1" selected="0">
            <x v="8"/>
          </reference>
        </references>
      </pivotArea>
    </format>
    <format dxfId="1558">
      <pivotArea dataOnly="0" labelOnly="1" outline="0" fieldPosition="0">
        <references count="4">
          <reference field="9" count="1" selected="0">
            <x v="58"/>
          </reference>
          <reference field="10" count="1" selected="0">
            <x v="0"/>
          </reference>
          <reference field="14" count="1">
            <x v="8"/>
          </reference>
          <reference field="18" count="1" selected="0">
            <x v="9"/>
          </reference>
        </references>
      </pivotArea>
    </format>
    <format dxfId="1557">
      <pivotArea dataOnly="0" labelOnly="1" outline="0" fieldPosition="0">
        <references count="4">
          <reference field="9" count="1" selected="0">
            <x v="58"/>
          </reference>
          <reference field="10" count="1" selected="0">
            <x v="0"/>
          </reference>
          <reference field="14" count="1">
            <x v="16"/>
          </reference>
          <reference field="18" count="1" selected="0">
            <x v="12"/>
          </reference>
        </references>
      </pivotArea>
    </format>
    <format dxfId="1556">
      <pivotArea dataOnly="0" labelOnly="1" outline="0" fieldPosition="0">
        <references count="4">
          <reference field="9" count="1" selected="0">
            <x v="58"/>
          </reference>
          <reference field="10" count="1" selected="0">
            <x v="0"/>
          </reference>
          <reference field="14" count="1">
            <x v="14"/>
          </reference>
          <reference field="18" count="1" selected="0">
            <x v="18"/>
          </reference>
        </references>
      </pivotArea>
    </format>
    <format dxfId="1555">
      <pivotArea dataOnly="0" labelOnly="1" outline="0" fieldPosition="0">
        <references count="4">
          <reference field="9" count="1" selected="0">
            <x v="58"/>
          </reference>
          <reference field="10" count="1" selected="0">
            <x v="0"/>
          </reference>
          <reference field="14" count="1">
            <x v="24"/>
          </reference>
          <reference field="18" count="1" selected="0">
            <x v="19"/>
          </reference>
        </references>
      </pivotArea>
    </format>
    <format dxfId="1554">
      <pivotArea dataOnly="0" labelOnly="1" outline="0" fieldPosition="0">
        <references count="4">
          <reference field="9" count="1" selected="0">
            <x v="58"/>
          </reference>
          <reference field="10" count="1" selected="0">
            <x v="0"/>
          </reference>
          <reference field="14" count="1">
            <x v="7"/>
          </reference>
          <reference field="18" count="1" selected="0">
            <x v="22"/>
          </reference>
        </references>
      </pivotArea>
    </format>
    <format dxfId="1553">
      <pivotArea dataOnly="0" labelOnly="1" outline="0" fieldPosition="0">
        <references count="4">
          <reference field="9" count="1" selected="0">
            <x v="58"/>
          </reference>
          <reference field="10" count="1" selected="0">
            <x v="0"/>
          </reference>
          <reference field="14" count="1">
            <x v="22"/>
          </reference>
          <reference field="18" count="1" selected="0">
            <x v="25"/>
          </reference>
        </references>
      </pivotArea>
    </format>
    <format dxfId="1552">
      <pivotArea dataOnly="0" labelOnly="1" outline="0" fieldPosition="0">
        <references count="4">
          <reference field="9" count="1" selected="0">
            <x v="58"/>
          </reference>
          <reference field="10" count="1" selected="0">
            <x v="0"/>
          </reference>
          <reference field="14" count="1">
            <x v="5"/>
          </reference>
          <reference field="18" count="1" selected="0">
            <x v="28"/>
          </reference>
        </references>
      </pivotArea>
    </format>
    <format dxfId="1551">
      <pivotArea dataOnly="0" labelOnly="1" outline="0" fieldPosition="0">
        <references count="4">
          <reference field="9" count="1" selected="0">
            <x v="59"/>
          </reference>
          <reference field="10" count="1" selected="0">
            <x v="1"/>
          </reference>
          <reference field="14" count="1">
            <x v="11"/>
          </reference>
          <reference field="18" count="1" selected="0">
            <x v="3"/>
          </reference>
        </references>
      </pivotArea>
    </format>
    <format dxfId="1550">
      <pivotArea dataOnly="0" labelOnly="1" outline="0" fieldPosition="0">
        <references count="4">
          <reference field="9" count="1" selected="0">
            <x v="59"/>
          </reference>
          <reference field="10" count="1" selected="0">
            <x v="1"/>
          </reference>
          <reference field="14" count="1">
            <x v="6"/>
          </reference>
          <reference field="18" count="1" selected="0">
            <x v="4"/>
          </reference>
        </references>
      </pivotArea>
    </format>
    <format dxfId="1549">
      <pivotArea dataOnly="0" labelOnly="1" outline="0" fieldPosition="0">
        <references count="4">
          <reference field="9" count="1" selected="0">
            <x v="59"/>
          </reference>
          <reference field="10" count="1" selected="0">
            <x v="1"/>
          </reference>
          <reference field="14" count="1">
            <x v="9"/>
          </reference>
          <reference field="18" count="1" selected="0">
            <x v="8"/>
          </reference>
        </references>
      </pivotArea>
    </format>
    <format dxfId="1548">
      <pivotArea dataOnly="0" labelOnly="1" outline="0" fieldPosition="0">
        <references count="4">
          <reference field="9" count="1" selected="0">
            <x v="59"/>
          </reference>
          <reference field="10" count="1" selected="0">
            <x v="1"/>
          </reference>
          <reference field="14" count="1">
            <x v="8"/>
          </reference>
          <reference field="18" count="1" selected="0">
            <x v="9"/>
          </reference>
        </references>
      </pivotArea>
    </format>
    <format dxfId="1547">
      <pivotArea dataOnly="0" labelOnly="1" outline="0" fieldPosition="0">
        <references count="4">
          <reference field="9" count="1" selected="0">
            <x v="59"/>
          </reference>
          <reference field="10" count="1" selected="0">
            <x v="1"/>
          </reference>
          <reference field="14" count="1">
            <x v="16"/>
          </reference>
          <reference field="18" count="1" selected="0">
            <x v="12"/>
          </reference>
        </references>
      </pivotArea>
    </format>
    <format dxfId="1546">
      <pivotArea dataOnly="0" labelOnly="1" outline="0" fieldPosition="0">
        <references count="4">
          <reference field="9" count="1" selected="0">
            <x v="59"/>
          </reference>
          <reference field="10" count="1" selected="0">
            <x v="1"/>
          </reference>
          <reference field="14" count="1">
            <x v="24"/>
          </reference>
          <reference field="18" count="1" selected="0">
            <x v="19"/>
          </reference>
        </references>
      </pivotArea>
    </format>
    <format dxfId="1545">
      <pivotArea dataOnly="0" labelOnly="1" outline="0" fieldPosition="0">
        <references count="4">
          <reference field="9" count="1" selected="0">
            <x v="59"/>
          </reference>
          <reference field="10" count="1" selected="0">
            <x v="1"/>
          </reference>
          <reference field="14" count="1">
            <x v="7"/>
          </reference>
          <reference field="18" count="1" selected="0">
            <x v="22"/>
          </reference>
        </references>
      </pivotArea>
    </format>
    <format dxfId="1544">
      <pivotArea dataOnly="0" labelOnly="1" outline="0" fieldPosition="0">
        <references count="4">
          <reference field="9" count="1" selected="0">
            <x v="59"/>
          </reference>
          <reference field="10" count="1" selected="0">
            <x v="1"/>
          </reference>
          <reference field="14" count="1">
            <x v="5"/>
          </reference>
          <reference field="18" count="1" selected="0">
            <x v="28"/>
          </reference>
        </references>
      </pivotArea>
    </format>
    <format dxfId="1543">
      <pivotArea dataOnly="0" labelOnly="1" outline="0" fieldPosition="0">
        <references count="4">
          <reference field="9" count="1" selected="0">
            <x v="59"/>
          </reference>
          <reference field="10" count="1" selected="0">
            <x v="1"/>
          </reference>
          <reference field="14" count="1">
            <x v="26"/>
          </reference>
          <reference field="18" count="1" selected="0">
            <x v="30"/>
          </reference>
        </references>
      </pivotArea>
    </format>
    <format dxfId="1542">
      <pivotArea dataOnly="0" labelOnly="1" outline="0" fieldPosition="0">
        <references count="4">
          <reference field="9" count="1" selected="0">
            <x v="60"/>
          </reference>
          <reference field="10" count="1" selected="0">
            <x v="2"/>
          </reference>
          <reference field="14" count="1">
            <x v="6"/>
          </reference>
          <reference field="18" count="1" selected="0">
            <x v="4"/>
          </reference>
        </references>
      </pivotArea>
    </format>
    <format dxfId="1541">
      <pivotArea dataOnly="0" labelOnly="1" outline="0" fieldPosition="0">
        <references count="4">
          <reference field="9" count="1" selected="0">
            <x v="60"/>
          </reference>
          <reference field="10" count="1" selected="0">
            <x v="2"/>
          </reference>
          <reference field="14" count="1">
            <x v="28"/>
          </reference>
          <reference field="18" count="1" selected="0">
            <x v="5"/>
          </reference>
        </references>
      </pivotArea>
    </format>
    <format dxfId="1540">
      <pivotArea dataOnly="0" labelOnly="1" outline="0" fieldPosition="0">
        <references count="4">
          <reference field="9" count="1" selected="0">
            <x v="60"/>
          </reference>
          <reference field="10" count="1" selected="0">
            <x v="2"/>
          </reference>
          <reference field="14" count="1">
            <x v="27"/>
          </reference>
          <reference field="18" count="1" selected="0">
            <x v="6"/>
          </reference>
        </references>
      </pivotArea>
    </format>
    <format dxfId="1539">
      <pivotArea dataOnly="0" labelOnly="1" outline="0" fieldPosition="0">
        <references count="4">
          <reference field="9" count="1" selected="0">
            <x v="60"/>
          </reference>
          <reference field="10" count="1" selected="0">
            <x v="2"/>
          </reference>
          <reference field="14" count="1">
            <x v="9"/>
          </reference>
          <reference field="18" count="1" selected="0">
            <x v="8"/>
          </reference>
        </references>
      </pivotArea>
    </format>
    <format dxfId="1538">
      <pivotArea dataOnly="0" labelOnly="1" outline="0" fieldPosition="0">
        <references count="4">
          <reference field="9" count="1" selected="0">
            <x v="60"/>
          </reference>
          <reference field="10" count="1" selected="0">
            <x v="2"/>
          </reference>
          <reference field="14" count="1">
            <x v="16"/>
          </reference>
          <reference field="18" count="1" selected="0">
            <x v="12"/>
          </reference>
        </references>
      </pivotArea>
    </format>
    <format dxfId="1537">
      <pivotArea dataOnly="0" labelOnly="1" outline="0" fieldPosition="0">
        <references count="4">
          <reference field="9" count="1" selected="0">
            <x v="60"/>
          </reference>
          <reference field="10" count="1" selected="0">
            <x v="2"/>
          </reference>
          <reference field="14" count="1">
            <x v="24"/>
          </reference>
          <reference field="18" count="1" selected="0">
            <x v="19"/>
          </reference>
        </references>
      </pivotArea>
    </format>
    <format dxfId="1536">
      <pivotArea dataOnly="0" labelOnly="1" outline="0" fieldPosition="0">
        <references count="4">
          <reference field="9" count="1" selected="0">
            <x v="60"/>
          </reference>
          <reference field="10" count="1" selected="0">
            <x v="2"/>
          </reference>
          <reference field="14" count="1">
            <x v="7"/>
          </reference>
          <reference field="18" count="1" selected="0">
            <x v="22"/>
          </reference>
        </references>
      </pivotArea>
    </format>
    <format dxfId="1535">
      <pivotArea dataOnly="0" labelOnly="1" outline="0" fieldPosition="0">
        <references count="4">
          <reference field="9" count="1" selected="0">
            <x v="60"/>
          </reference>
          <reference field="10" count="1" selected="0">
            <x v="2"/>
          </reference>
          <reference field="14" count="1">
            <x v="22"/>
          </reference>
          <reference field="18" count="1" selected="0">
            <x v="25"/>
          </reference>
        </references>
      </pivotArea>
    </format>
    <format dxfId="1534">
      <pivotArea dataOnly="0" labelOnly="1" outline="0" fieldPosition="0">
        <references count="4">
          <reference field="9" count="1" selected="0">
            <x v="60"/>
          </reference>
          <reference field="10" count="1" selected="0">
            <x v="2"/>
          </reference>
          <reference field="14" count="1">
            <x v="5"/>
          </reference>
          <reference field="18" count="1" selected="0">
            <x v="28"/>
          </reference>
        </references>
      </pivotArea>
    </format>
    <format dxfId="1533">
      <pivotArea dataOnly="0" labelOnly="1" outline="0" fieldPosition="0">
        <references count="4">
          <reference field="9" count="1" selected="0">
            <x v="61"/>
          </reference>
          <reference field="10" count="1" selected="0">
            <x v="3"/>
          </reference>
          <reference field="14" count="1">
            <x v="4"/>
          </reference>
          <reference field="18" count="1" selected="0">
            <x v="0"/>
          </reference>
        </references>
      </pivotArea>
    </format>
    <format dxfId="1532">
      <pivotArea dataOnly="0" labelOnly="1" outline="0" fieldPosition="0">
        <references count="4">
          <reference field="9" count="1" selected="0">
            <x v="61"/>
          </reference>
          <reference field="10" count="1" selected="0">
            <x v="3"/>
          </reference>
          <reference field="14" count="1">
            <x v="11"/>
          </reference>
          <reference field="18" count="1" selected="0">
            <x v="3"/>
          </reference>
        </references>
      </pivotArea>
    </format>
    <format dxfId="1531">
      <pivotArea dataOnly="0" labelOnly="1" outline="0" fieldPosition="0">
        <references count="4">
          <reference field="9" count="1" selected="0">
            <x v="61"/>
          </reference>
          <reference field="10" count="1" selected="0">
            <x v="3"/>
          </reference>
          <reference field="14" count="1">
            <x v="6"/>
          </reference>
          <reference field="18" count="1" selected="0">
            <x v="4"/>
          </reference>
        </references>
      </pivotArea>
    </format>
    <format dxfId="1530">
      <pivotArea dataOnly="0" labelOnly="1" outline="0" fieldPosition="0">
        <references count="4">
          <reference field="9" count="1" selected="0">
            <x v="61"/>
          </reference>
          <reference field="10" count="1" selected="0">
            <x v="3"/>
          </reference>
          <reference field="14" count="1">
            <x v="9"/>
          </reference>
          <reference field="18" count="1" selected="0">
            <x v="8"/>
          </reference>
        </references>
      </pivotArea>
    </format>
    <format dxfId="1529">
      <pivotArea dataOnly="0" labelOnly="1" outline="0" fieldPosition="0">
        <references count="4">
          <reference field="9" count="1" selected="0">
            <x v="61"/>
          </reference>
          <reference field="10" count="1" selected="0">
            <x v="3"/>
          </reference>
          <reference field="14" count="1">
            <x v="8"/>
          </reference>
          <reference field="18" count="1" selected="0">
            <x v="9"/>
          </reference>
        </references>
      </pivotArea>
    </format>
    <format dxfId="1528">
      <pivotArea dataOnly="0" labelOnly="1" outline="0" fieldPosition="0">
        <references count="4">
          <reference field="9" count="1" selected="0">
            <x v="61"/>
          </reference>
          <reference field="10" count="1" selected="0">
            <x v="3"/>
          </reference>
          <reference field="14" count="1">
            <x v="16"/>
          </reference>
          <reference field="18" count="1" selected="0">
            <x v="12"/>
          </reference>
        </references>
      </pivotArea>
    </format>
    <format dxfId="1527">
      <pivotArea dataOnly="0" labelOnly="1" outline="0" fieldPosition="0">
        <references count="4">
          <reference field="9" count="1" selected="0">
            <x v="61"/>
          </reference>
          <reference field="10" count="1" selected="0">
            <x v="3"/>
          </reference>
          <reference field="14" count="1">
            <x v="24"/>
          </reference>
          <reference field="18" count="1" selected="0">
            <x v="19"/>
          </reference>
        </references>
      </pivotArea>
    </format>
    <format dxfId="1526">
      <pivotArea dataOnly="0" labelOnly="1" outline="0" fieldPosition="0">
        <references count="4">
          <reference field="9" count="1" selected="0">
            <x v="61"/>
          </reference>
          <reference field="10" count="1" selected="0">
            <x v="3"/>
          </reference>
          <reference field="14" count="1">
            <x v="7"/>
          </reference>
          <reference field="18" count="1" selected="0">
            <x v="22"/>
          </reference>
        </references>
      </pivotArea>
    </format>
    <format dxfId="1525">
      <pivotArea dataOnly="0" labelOnly="1" outline="0" fieldPosition="0">
        <references count="4">
          <reference field="9" count="1" selected="0">
            <x v="61"/>
          </reference>
          <reference field="10" count="1" selected="0">
            <x v="3"/>
          </reference>
          <reference field="14" count="1">
            <x v="23"/>
          </reference>
          <reference field="18" count="1" selected="0">
            <x v="24"/>
          </reference>
        </references>
      </pivotArea>
    </format>
    <format dxfId="1524">
      <pivotArea dataOnly="0" labelOnly="1" outline="0" fieldPosition="0">
        <references count="4">
          <reference field="9" count="1" selected="0">
            <x v="61"/>
          </reference>
          <reference field="10" count="1" selected="0">
            <x v="3"/>
          </reference>
          <reference field="14" count="1">
            <x v="22"/>
          </reference>
          <reference field="18" count="1" selected="0">
            <x v="25"/>
          </reference>
        </references>
      </pivotArea>
    </format>
    <format dxfId="1523">
      <pivotArea dataOnly="0" labelOnly="1" outline="0" fieldPosition="0">
        <references count="4">
          <reference field="9" count="1" selected="0">
            <x v="61"/>
          </reference>
          <reference field="10" count="1" selected="0">
            <x v="3"/>
          </reference>
          <reference field="14" count="1">
            <x v="5"/>
          </reference>
          <reference field="18" count="1" selected="0">
            <x v="28"/>
          </reference>
        </references>
      </pivotArea>
    </format>
    <format dxfId="1522">
      <pivotArea dataOnly="0" labelOnly="1" outline="0" fieldPosition="0">
        <references count="4">
          <reference field="9" count="1" selected="0">
            <x v="61"/>
          </reference>
          <reference field="10" count="1" selected="0">
            <x v="3"/>
          </reference>
          <reference field="14" count="1">
            <x v="26"/>
          </reference>
          <reference field="18" count="1" selected="0">
            <x v="30"/>
          </reference>
        </references>
      </pivotArea>
    </format>
    <format dxfId="1521">
      <pivotArea dataOnly="0" labelOnly="1" outline="0" fieldPosition="0">
        <references count="4">
          <reference field="9" count="1" selected="0">
            <x v="62"/>
          </reference>
          <reference field="10" count="1" selected="0">
            <x v="8"/>
          </reference>
          <reference field="14" count="1">
            <x v="27"/>
          </reference>
          <reference field="18" count="1" selected="0">
            <x v="6"/>
          </reference>
        </references>
      </pivotArea>
    </format>
    <format dxfId="1520">
      <pivotArea dataOnly="0" labelOnly="1" outline="0" fieldPosition="0">
        <references count="4">
          <reference field="9" count="1" selected="0">
            <x v="62"/>
          </reference>
          <reference field="10" count="1" selected="0">
            <x v="8"/>
          </reference>
          <reference field="14" count="1">
            <x v="7"/>
          </reference>
          <reference field="18" count="1" selected="0">
            <x v="22"/>
          </reference>
        </references>
      </pivotArea>
    </format>
    <format dxfId="1519">
      <pivotArea type="topRight" dataOnly="0" labelOnly="1" outline="0" fieldPosition="0"/>
    </format>
    <format dxfId="1518">
      <pivotArea field="18" type="button" dataOnly="0" labelOnly="1" outline="0" axis="axisRow" fieldPosition="2"/>
    </format>
    <format dxfId="1517">
      <pivotArea dataOnly="0" labelOnly="1" outline="0" fieldPosition="0">
        <references count="3">
          <reference field="9" count="1" selected="0">
            <x v="0"/>
          </reference>
          <reference field="10" count="1" selected="0">
            <x v="58"/>
          </reference>
          <reference field="18" count="1">
            <x v="28"/>
          </reference>
        </references>
      </pivotArea>
    </format>
    <format dxfId="1516">
      <pivotArea dataOnly="0" labelOnly="1" outline="0" fieldPosition="0">
        <references count="3">
          <reference field="9" count="1" selected="0">
            <x v="2"/>
          </reference>
          <reference field="10" count="1" selected="0">
            <x v="56"/>
          </reference>
          <reference field="18" count="5">
            <x v="5"/>
            <x v="12"/>
            <x v="16"/>
            <x v="22"/>
            <x v="30"/>
          </reference>
        </references>
      </pivotArea>
    </format>
    <format dxfId="1515">
      <pivotArea dataOnly="0" labelOnly="1" outline="0" fieldPosition="0">
        <references count="3">
          <reference field="9" count="1" selected="0">
            <x v="3"/>
          </reference>
          <reference field="10" count="1" selected="0">
            <x v="55"/>
          </reference>
          <reference field="18" count="12">
            <x v="0"/>
            <x v="3"/>
            <x v="5"/>
            <x v="6"/>
            <x v="8"/>
            <x v="9"/>
            <x v="12"/>
            <x v="13"/>
            <x v="18"/>
            <x v="22"/>
            <x v="25"/>
            <x v="30"/>
          </reference>
        </references>
      </pivotArea>
    </format>
    <format dxfId="1514">
      <pivotArea dataOnly="0" labelOnly="1" outline="0" fieldPosition="0">
        <references count="3">
          <reference field="9" count="1" selected="0">
            <x v="4"/>
          </reference>
          <reference field="10" count="1" selected="0">
            <x v="54"/>
          </reference>
          <reference field="18" count="12">
            <x v="3"/>
            <x v="6"/>
            <x v="7"/>
            <x v="8"/>
            <x v="9"/>
            <x v="12"/>
            <x v="14"/>
            <x v="16"/>
            <x v="18"/>
            <x v="22"/>
            <x v="24"/>
            <x v="25"/>
          </reference>
        </references>
      </pivotArea>
    </format>
    <format dxfId="1513">
      <pivotArea dataOnly="0" labelOnly="1" outline="0" fieldPosition="0">
        <references count="3">
          <reference field="9" count="1" selected="0">
            <x v="5"/>
          </reference>
          <reference field="10" count="1" selected="0">
            <x v="59"/>
          </reference>
          <reference field="18" count="16">
            <x v="0"/>
            <x v="3"/>
            <x v="5"/>
            <x v="6"/>
            <x v="7"/>
            <x v="8"/>
            <x v="9"/>
            <x v="12"/>
            <x v="15"/>
            <x v="16"/>
            <x v="18"/>
            <x v="22"/>
            <x v="24"/>
            <x v="25"/>
            <x v="29"/>
            <x v="30"/>
          </reference>
        </references>
      </pivotArea>
    </format>
    <format dxfId="1512">
      <pivotArea dataOnly="0" labelOnly="1" outline="0" fieldPosition="0">
        <references count="3">
          <reference field="9" count="1" selected="0">
            <x v="6"/>
          </reference>
          <reference field="10" count="1" selected="0">
            <x v="53"/>
          </reference>
          <reference field="18" count="1">
            <x v="20"/>
          </reference>
        </references>
      </pivotArea>
    </format>
    <format dxfId="1511">
      <pivotArea dataOnly="0" labelOnly="1" outline="0" fieldPosition="0">
        <references count="3">
          <reference field="9" count="1" selected="0">
            <x v="7"/>
          </reference>
          <reference field="10" count="1" selected="0">
            <x v="60"/>
          </reference>
          <reference field="18" count="1">
            <x v="31"/>
          </reference>
        </references>
      </pivotArea>
    </format>
    <format dxfId="1510">
      <pivotArea dataOnly="0" labelOnly="1" outline="0" fieldPosition="0">
        <references count="3">
          <reference field="9" count="1" selected="0">
            <x v="8"/>
          </reference>
          <reference field="10" count="1" selected="0">
            <x v="61"/>
          </reference>
          <reference field="18" count="10">
            <x v="5"/>
            <x v="8"/>
            <x v="9"/>
            <x v="12"/>
            <x v="22"/>
            <x v="24"/>
            <x v="25"/>
            <x v="29"/>
            <x v="30"/>
            <x v="31"/>
          </reference>
        </references>
      </pivotArea>
    </format>
    <format dxfId="1509">
      <pivotArea dataOnly="0" labelOnly="1" outline="0" fieldPosition="0">
        <references count="3">
          <reference field="9" count="1" selected="0">
            <x v="9"/>
          </reference>
          <reference field="10" count="1" selected="0">
            <x v="62"/>
          </reference>
          <reference field="18" count="17">
            <x v="0"/>
            <x v="3"/>
            <x v="4"/>
            <x v="5"/>
            <x v="6"/>
            <x v="8"/>
            <x v="9"/>
            <x v="12"/>
            <x v="14"/>
            <x v="18"/>
            <x v="19"/>
            <x v="22"/>
            <x v="24"/>
            <x v="25"/>
            <x v="29"/>
            <x v="30"/>
            <x v="31"/>
          </reference>
        </references>
      </pivotArea>
    </format>
    <format dxfId="1508">
      <pivotArea dataOnly="0" labelOnly="1" outline="0" fieldPosition="0">
        <references count="3">
          <reference field="9" count="1" selected="0">
            <x v="10"/>
          </reference>
          <reference field="10" count="1" selected="0">
            <x v="10"/>
          </reference>
          <reference field="18" count="11">
            <x v="1"/>
            <x v="3"/>
            <x v="7"/>
            <x v="11"/>
            <x v="12"/>
            <x v="14"/>
            <x v="15"/>
            <x v="21"/>
            <x v="22"/>
            <x v="28"/>
            <x v="29"/>
          </reference>
        </references>
      </pivotArea>
    </format>
    <format dxfId="1507">
      <pivotArea dataOnly="0" labelOnly="1" outline="0" fieldPosition="0">
        <references count="3">
          <reference field="9" count="1" selected="0">
            <x v="11"/>
          </reference>
          <reference field="10" count="1" selected="0">
            <x v="14"/>
          </reference>
          <reference field="18" count="1">
            <x v="3"/>
          </reference>
        </references>
      </pivotArea>
    </format>
    <format dxfId="1506">
      <pivotArea dataOnly="0" labelOnly="1" outline="0" fieldPosition="0">
        <references count="3">
          <reference field="9" count="1" selected="0">
            <x v="12"/>
          </reference>
          <reference field="10" count="1" selected="0">
            <x v="18"/>
          </reference>
          <reference field="18" count="18">
            <x v="0"/>
            <x v="1"/>
            <x v="3"/>
            <x v="7"/>
            <x v="8"/>
            <x v="9"/>
            <x v="11"/>
            <x v="12"/>
            <x v="13"/>
            <x v="14"/>
            <x v="15"/>
            <x v="16"/>
            <x v="18"/>
            <x v="22"/>
            <x v="27"/>
            <x v="28"/>
            <x v="29"/>
            <x v="30"/>
          </reference>
        </references>
      </pivotArea>
    </format>
    <format dxfId="1505">
      <pivotArea dataOnly="0" labelOnly="1" outline="0" fieldPosition="0">
        <references count="3">
          <reference field="9" count="1" selected="0">
            <x v="13"/>
          </reference>
          <reference field="10" count="1" selected="0">
            <x v="22"/>
          </reference>
          <reference field="18" count="1">
            <x v="6"/>
          </reference>
        </references>
      </pivotArea>
    </format>
    <format dxfId="1504">
      <pivotArea dataOnly="0" labelOnly="1" outline="0" fieldPosition="0">
        <references count="3">
          <reference field="9" count="1" selected="0">
            <x v="14"/>
          </reference>
          <reference field="10" count="1" selected="0">
            <x v="26"/>
          </reference>
          <reference field="18" count="2">
            <x v="16"/>
            <x v="30"/>
          </reference>
        </references>
      </pivotArea>
    </format>
    <format dxfId="1503">
      <pivotArea dataOnly="0" labelOnly="1" outline="0" fieldPosition="0">
        <references count="3">
          <reference field="9" count="1" selected="0">
            <x v="15"/>
          </reference>
          <reference field="10" count="1" selected="0">
            <x v="30"/>
          </reference>
          <reference field="18" count="11">
            <x v="1"/>
            <x v="3"/>
            <x v="5"/>
            <x v="7"/>
            <x v="12"/>
            <x v="14"/>
            <x v="15"/>
            <x v="16"/>
            <x v="22"/>
            <x v="28"/>
            <x v="29"/>
          </reference>
        </references>
      </pivotArea>
    </format>
    <format dxfId="1502">
      <pivotArea dataOnly="0" labelOnly="1" outline="0" fieldPosition="0">
        <references count="3">
          <reference field="9" count="1" selected="0">
            <x v="16"/>
          </reference>
          <reference field="10" count="1" selected="0">
            <x v="34"/>
          </reference>
          <reference field="18" count="1">
            <x v="22"/>
          </reference>
        </references>
      </pivotArea>
    </format>
    <format dxfId="1501">
      <pivotArea dataOnly="0" labelOnly="1" outline="0" fieldPosition="0">
        <references count="3">
          <reference field="9" count="1" selected="0">
            <x v="17"/>
          </reference>
          <reference field="10" count="1" selected="0">
            <x v="38"/>
          </reference>
          <reference field="18" count="3">
            <x v="11"/>
            <x v="13"/>
            <x v="29"/>
          </reference>
        </references>
      </pivotArea>
    </format>
    <format dxfId="1500">
      <pivotArea dataOnly="0" labelOnly="1" outline="0" fieldPosition="0">
        <references count="3">
          <reference field="9" count="1" selected="0">
            <x v="18"/>
          </reference>
          <reference field="10" count="1" selected="0">
            <x v="42"/>
          </reference>
          <reference field="18" count="10">
            <x v="1"/>
            <x v="3"/>
            <x v="5"/>
            <x v="7"/>
            <x v="8"/>
            <x v="9"/>
            <x v="12"/>
            <x v="14"/>
            <x v="15"/>
            <x v="28"/>
          </reference>
        </references>
      </pivotArea>
    </format>
    <format dxfId="1499">
      <pivotArea dataOnly="0" labelOnly="1" outline="0" fieldPosition="0">
        <references count="3">
          <reference field="9" count="1" selected="0">
            <x v="19"/>
          </reference>
          <reference field="10" count="1" selected="0">
            <x v="46"/>
          </reference>
          <reference field="18" count="2">
            <x v="6"/>
            <x v="22"/>
          </reference>
        </references>
      </pivotArea>
    </format>
    <format dxfId="1498">
      <pivotArea dataOnly="0" labelOnly="1" outline="0" fieldPosition="0">
        <references count="3">
          <reference field="9" count="1" selected="0">
            <x v="20"/>
          </reference>
          <reference field="10" count="1" selected="0">
            <x v="50"/>
          </reference>
          <reference field="18" count="1">
            <x v="6"/>
          </reference>
        </references>
      </pivotArea>
    </format>
    <format dxfId="1497">
      <pivotArea dataOnly="0" labelOnly="1" outline="0" fieldPosition="0">
        <references count="3">
          <reference field="9" count="1" selected="0">
            <x v="21"/>
          </reference>
          <reference field="10" count="1" selected="0">
            <x v="11"/>
          </reference>
          <reference field="18" count="10">
            <x v="0"/>
            <x v="1"/>
            <x v="3"/>
            <x v="7"/>
            <x v="9"/>
            <x v="12"/>
            <x v="14"/>
            <x v="15"/>
            <x v="28"/>
            <x v="29"/>
          </reference>
        </references>
      </pivotArea>
    </format>
    <format dxfId="1496">
      <pivotArea dataOnly="0" labelOnly="1" outline="0" fieldPosition="0">
        <references count="3">
          <reference field="9" count="1" selected="0">
            <x v="22"/>
          </reference>
          <reference field="10" count="1" selected="0">
            <x v="15"/>
          </reference>
          <reference field="18" count="1">
            <x v="3"/>
          </reference>
        </references>
      </pivotArea>
    </format>
    <format dxfId="1495">
      <pivotArea dataOnly="0" labelOnly="1" outline="0" fieldPosition="0">
        <references count="3">
          <reference field="9" count="1" selected="0">
            <x v="23"/>
          </reference>
          <reference field="10" count="1" selected="0">
            <x v="19"/>
          </reference>
          <reference field="18" count="17">
            <x v="0"/>
            <x v="7"/>
            <x v="8"/>
            <x v="9"/>
            <x v="11"/>
            <x v="12"/>
            <x v="13"/>
            <x v="14"/>
            <x v="15"/>
            <x v="16"/>
            <x v="18"/>
            <x v="22"/>
            <x v="25"/>
            <x v="27"/>
            <x v="28"/>
            <x v="29"/>
            <x v="30"/>
          </reference>
        </references>
      </pivotArea>
    </format>
    <format dxfId="1494">
      <pivotArea dataOnly="0" labelOnly="1" outline="0" fieldPosition="0">
        <references count="3">
          <reference field="9" count="1" selected="0">
            <x v="24"/>
          </reference>
          <reference field="10" count="1" selected="0">
            <x v="23"/>
          </reference>
          <reference field="18" count="1">
            <x v="6"/>
          </reference>
        </references>
      </pivotArea>
    </format>
    <format dxfId="1493">
      <pivotArea dataOnly="0" labelOnly="1" outline="0" fieldPosition="0">
        <references count="3">
          <reference field="9" count="1" selected="0">
            <x v="25"/>
          </reference>
          <reference field="10" count="1" selected="0">
            <x v="27"/>
          </reference>
          <reference field="18" count="5">
            <x v="3"/>
            <x v="5"/>
            <x v="16"/>
            <x v="28"/>
            <x v="30"/>
          </reference>
        </references>
      </pivotArea>
    </format>
    <format dxfId="1492">
      <pivotArea dataOnly="0" labelOnly="1" outline="0" fieldPosition="0">
        <references count="3">
          <reference field="9" count="1" selected="0">
            <x v="26"/>
          </reference>
          <reference field="10" count="1" selected="0">
            <x v="31"/>
          </reference>
          <reference field="18" count="14">
            <x v="0"/>
            <x v="3"/>
            <x v="5"/>
            <x v="7"/>
            <x v="9"/>
            <x v="12"/>
            <x v="14"/>
            <x v="15"/>
            <x v="16"/>
            <x v="18"/>
            <x v="22"/>
            <x v="25"/>
            <x v="28"/>
            <x v="29"/>
          </reference>
        </references>
      </pivotArea>
    </format>
    <format dxfId="1491">
      <pivotArea dataOnly="0" labelOnly="1" outline="0" fieldPosition="0">
        <references count="3">
          <reference field="9" count="1" selected="0">
            <x v="27"/>
          </reference>
          <reference field="10" count="1" selected="0">
            <x v="35"/>
          </reference>
          <reference field="18" count="1">
            <x v="22"/>
          </reference>
        </references>
      </pivotArea>
    </format>
    <format dxfId="1490">
      <pivotArea dataOnly="0" labelOnly="1" outline="0" fieldPosition="0">
        <references count="3">
          <reference field="9" count="1" selected="0">
            <x v="28"/>
          </reference>
          <reference field="10" count="1" selected="0">
            <x v="39"/>
          </reference>
          <reference field="18" count="5">
            <x v="11"/>
            <x v="12"/>
            <x v="13"/>
            <x v="15"/>
            <x v="27"/>
          </reference>
        </references>
      </pivotArea>
    </format>
    <format dxfId="1489">
      <pivotArea dataOnly="0" labelOnly="1" outline="0" fieldPosition="0">
        <references count="3">
          <reference field="9" count="1" selected="0">
            <x v="29"/>
          </reference>
          <reference field="10" count="1" selected="0">
            <x v="43"/>
          </reference>
          <reference field="18" count="8">
            <x v="1"/>
            <x v="3"/>
            <x v="5"/>
            <x v="7"/>
            <x v="15"/>
            <x v="25"/>
            <x v="28"/>
            <x v="29"/>
          </reference>
        </references>
      </pivotArea>
    </format>
    <format dxfId="1488">
      <pivotArea dataOnly="0" labelOnly="1" outline="0" fieldPosition="0">
        <references count="3">
          <reference field="9" count="1" selected="0">
            <x v="30"/>
          </reference>
          <reference field="10" count="1" selected="0">
            <x v="47"/>
          </reference>
          <reference field="18" count="2">
            <x v="6"/>
            <x v="22"/>
          </reference>
        </references>
      </pivotArea>
    </format>
    <format dxfId="1487">
      <pivotArea dataOnly="0" labelOnly="1" outline="0" fieldPosition="0">
        <references count="3">
          <reference field="9" count="1" selected="0">
            <x v="31"/>
          </reference>
          <reference field="10" count="1" selected="0">
            <x v="51"/>
          </reference>
          <reference field="18" count="1">
            <x v="6"/>
          </reference>
        </references>
      </pivotArea>
    </format>
    <format dxfId="1486">
      <pivotArea dataOnly="0" labelOnly="1" outline="0" fieldPosition="0">
        <references count="3">
          <reference field="9" count="1" selected="0">
            <x v="32"/>
          </reference>
          <reference field="10" count="1" selected="0">
            <x v="12"/>
          </reference>
          <reference field="18" count="10">
            <x v="0"/>
            <x v="1"/>
            <x v="3"/>
            <x v="12"/>
            <x v="14"/>
            <x v="21"/>
            <x v="22"/>
            <x v="25"/>
            <x v="28"/>
            <x v="29"/>
          </reference>
        </references>
      </pivotArea>
    </format>
    <format dxfId="1485">
      <pivotArea dataOnly="0" labelOnly="1" outline="0" fieldPosition="0">
        <references count="3">
          <reference field="9" count="1" selected="0">
            <x v="33"/>
          </reference>
          <reference field="10" count="1" selected="0">
            <x v="16"/>
          </reference>
          <reference field="18" count="1">
            <x v="3"/>
          </reference>
        </references>
      </pivotArea>
    </format>
    <format dxfId="1484">
      <pivotArea dataOnly="0" labelOnly="1" outline="0" fieldPosition="0">
        <references count="3">
          <reference field="9" count="1" selected="0">
            <x v="34"/>
          </reference>
          <reference field="10" count="1" selected="0">
            <x v="20"/>
          </reference>
          <reference field="18" count="17">
            <x v="0"/>
            <x v="1"/>
            <x v="7"/>
            <x v="8"/>
            <x v="9"/>
            <x v="11"/>
            <x v="12"/>
            <x v="13"/>
            <x v="15"/>
            <x v="16"/>
            <x v="18"/>
            <x v="22"/>
            <x v="25"/>
            <x v="27"/>
            <x v="28"/>
            <x v="29"/>
            <x v="30"/>
          </reference>
        </references>
      </pivotArea>
    </format>
    <format dxfId="1483">
      <pivotArea dataOnly="0" labelOnly="1" outline="0" fieldPosition="0">
        <references count="3">
          <reference field="9" count="1" selected="0">
            <x v="35"/>
          </reference>
          <reference field="10" count="1" selected="0">
            <x v="24"/>
          </reference>
          <reference field="18" count="1">
            <x v="6"/>
          </reference>
        </references>
      </pivotArea>
    </format>
    <format dxfId="1482">
      <pivotArea dataOnly="0" labelOnly="1" outline="0" fieldPosition="0">
        <references count="3">
          <reference field="9" count="1" selected="0">
            <x v="36"/>
          </reference>
          <reference field="10" count="1" selected="0">
            <x v="28"/>
          </reference>
          <reference field="18" count="3">
            <x v="4"/>
            <x v="16"/>
            <x v="30"/>
          </reference>
        </references>
      </pivotArea>
    </format>
    <format dxfId="1481">
      <pivotArea dataOnly="0" labelOnly="1" outline="0" fieldPosition="0">
        <references count="3">
          <reference field="9" count="1" selected="0">
            <x v="37"/>
          </reference>
          <reference field="10" count="1" selected="0">
            <x v="32"/>
          </reference>
          <reference field="18" count="10">
            <x v="1"/>
            <x v="5"/>
            <x v="7"/>
            <x v="9"/>
            <x v="12"/>
            <x v="14"/>
            <x v="15"/>
            <x v="25"/>
            <x v="28"/>
            <x v="29"/>
          </reference>
        </references>
      </pivotArea>
    </format>
    <format dxfId="1480">
      <pivotArea dataOnly="0" labelOnly="1" outline="0" fieldPosition="0">
        <references count="3">
          <reference field="9" count="1" selected="0">
            <x v="38"/>
          </reference>
          <reference field="10" count="1" selected="0">
            <x v="36"/>
          </reference>
          <reference field="18" count="1">
            <x v="22"/>
          </reference>
        </references>
      </pivotArea>
    </format>
    <format dxfId="1479">
      <pivotArea dataOnly="0" labelOnly="1" outline="0" fieldPosition="0">
        <references count="3">
          <reference field="9" count="1" selected="0">
            <x v="39"/>
          </reference>
          <reference field="10" count="1" selected="0">
            <x v="40"/>
          </reference>
          <reference field="18" count="7">
            <x v="11"/>
            <x v="12"/>
            <x v="13"/>
            <x v="15"/>
            <x v="25"/>
            <x v="27"/>
            <x v="29"/>
          </reference>
        </references>
      </pivotArea>
    </format>
    <format dxfId="1478">
      <pivotArea dataOnly="0" labelOnly="1" outline="0" fieldPosition="0">
        <references count="3">
          <reference field="9" count="1" selected="0">
            <x v="40"/>
          </reference>
          <reference field="10" count="1" selected="0">
            <x v="44"/>
          </reference>
          <reference field="18" count="8">
            <x v="3"/>
            <x v="5"/>
            <x v="7"/>
            <x v="8"/>
            <x v="9"/>
            <x v="14"/>
            <x v="15"/>
            <x v="28"/>
          </reference>
        </references>
      </pivotArea>
    </format>
    <format dxfId="1477">
      <pivotArea dataOnly="0" labelOnly="1" outline="0" fieldPosition="0">
        <references count="3">
          <reference field="9" count="1" selected="0">
            <x v="41"/>
          </reference>
          <reference field="10" count="1" selected="0">
            <x v="48"/>
          </reference>
          <reference field="18" count="2">
            <x v="6"/>
            <x v="22"/>
          </reference>
        </references>
      </pivotArea>
    </format>
    <format dxfId="1476">
      <pivotArea dataOnly="0" labelOnly="1" outline="0" fieldPosition="0">
        <references count="3">
          <reference field="9" count="1" selected="0">
            <x v="42"/>
          </reference>
          <reference field="10" count="1" selected="0">
            <x v="52"/>
          </reference>
          <reference field="18" count="1">
            <x v="6"/>
          </reference>
        </references>
      </pivotArea>
    </format>
    <format dxfId="1475">
      <pivotArea dataOnly="0" labelOnly="1" outline="0" fieldPosition="0">
        <references count="3">
          <reference field="9" count="1" selected="0">
            <x v="43"/>
          </reference>
          <reference field="10" count="1" selected="0">
            <x v="9"/>
          </reference>
          <reference field="18" count="7">
            <x v="1"/>
            <x v="3"/>
            <x v="7"/>
            <x v="14"/>
            <x v="21"/>
            <x v="28"/>
            <x v="29"/>
          </reference>
        </references>
      </pivotArea>
    </format>
    <format dxfId="1474">
      <pivotArea dataOnly="0" labelOnly="1" outline="0" fieldPosition="0">
        <references count="3">
          <reference field="9" count="1" selected="0">
            <x v="44"/>
          </reference>
          <reference field="10" count="1" selected="0">
            <x v="13"/>
          </reference>
          <reference field="18" count="1">
            <x v="3"/>
          </reference>
        </references>
      </pivotArea>
    </format>
    <format dxfId="1473">
      <pivotArea dataOnly="0" labelOnly="1" outline="0" fieldPosition="0">
        <references count="3">
          <reference field="9" count="1" selected="0">
            <x v="45"/>
          </reference>
          <reference field="10" count="1" selected="0">
            <x v="17"/>
          </reference>
          <reference field="18" count="17">
            <x v="0"/>
            <x v="1"/>
            <x v="3"/>
            <x v="7"/>
            <x v="8"/>
            <x v="9"/>
            <x v="11"/>
            <x v="12"/>
            <x v="13"/>
            <x v="14"/>
            <x v="16"/>
            <x v="18"/>
            <x v="22"/>
            <x v="27"/>
            <x v="28"/>
            <x v="29"/>
            <x v="30"/>
          </reference>
        </references>
      </pivotArea>
    </format>
    <format dxfId="1472">
      <pivotArea dataOnly="0" labelOnly="1" outline="0" fieldPosition="0">
        <references count="3">
          <reference field="9" count="1" selected="0">
            <x v="46"/>
          </reference>
          <reference field="10" count="1" selected="0">
            <x v="21"/>
          </reference>
          <reference field="18" count="1">
            <x v="6"/>
          </reference>
        </references>
      </pivotArea>
    </format>
    <format dxfId="1471">
      <pivotArea dataOnly="0" labelOnly="1" outline="0" fieldPosition="0">
        <references count="3">
          <reference field="9" count="1" selected="0">
            <x v="47"/>
          </reference>
          <reference field="10" count="1" selected="0">
            <x v="25"/>
          </reference>
          <reference field="18" count="2">
            <x v="16"/>
            <x v="30"/>
          </reference>
        </references>
      </pivotArea>
    </format>
    <format dxfId="1470">
      <pivotArea dataOnly="0" labelOnly="1" outline="0" fieldPosition="0">
        <references count="3">
          <reference field="9" count="1" selected="0">
            <x v="48"/>
          </reference>
          <reference field="10" count="1" selected="0">
            <x v="29"/>
          </reference>
          <reference field="18" count="8">
            <x v="3"/>
            <x v="5"/>
            <x v="7"/>
            <x v="14"/>
            <x v="16"/>
            <x v="19"/>
            <x v="25"/>
            <x v="28"/>
          </reference>
        </references>
      </pivotArea>
    </format>
    <format dxfId="1469">
      <pivotArea dataOnly="0" labelOnly="1" outline="0" fieldPosition="0">
        <references count="3">
          <reference field="9" count="1" selected="0">
            <x v="49"/>
          </reference>
          <reference field="10" count="1" selected="0">
            <x v="33"/>
          </reference>
          <reference field="18" count="1">
            <x v="22"/>
          </reference>
        </references>
      </pivotArea>
    </format>
    <format dxfId="1468">
      <pivotArea dataOnly="0" labelOnly="1" outline="0" fieldPosition="0">
        <references count="3">
          <reference field="9" count="1" selected="0">
            <x v="50"/>
          </reference>
          <reference field="10" count="1" selected="0">
            <x v="37"/>
          </reference>
          <reference field="18" count="5">
            <x v="0"/>
            <x v="11"/>
            <x v="13"/>
            <x v="27"/>
            <x v="29"/>
          </reference>
        </references>
      </pivotArea>
    </format>
    <format dxfId="1467">
      <pivotArea dataOnly="0" labelOnly="1" outline="0" fieldPosition="0">
        <references count="3">
          <reference field="9" count="1" selected="0">
            <x v="51"/>
          </reference>
          <reference field="10" count="1" selected="0">
            <x v="41"/>
          </reference>
          <reference field="18" count="8">
            <x v="1"/>
            <x v="3"/>
            <x v="7"/>
            <x v="9"/>
            <x v="12"/>
            <x v="18"/>
            <x v="25"/>
            <x v="28"/>
          </reference>
        </references>
      </pivotArea>
    </format>
    <format dxfId="1466">
      <pivotArea dataOnly="0" labelOnly="1" outline="0" fieldPosition="0">
        <references count="3">
          <reference field="9" count="1" selected="0">
            <x v="52"/>
          </reference>
          <reference field="10" count="1" selected="0">
            <x v="45"/>
          </reference>
          <reference field="18" count="2">
            <x v="6"/>
            <x v="22"/>
          </reference>
        </references>
      </pivotArea>
    </format>
    <format dxfId="1465">
      <pivotArea dataOnly="0" labelOnly="1" outline="0" fieldPosition="0">
        <references count="3">
          <reference field="9" count="1" selected="0">
            <x v="53"/>
          </reference>
          <reference field="10" count="1" selected="0">
            <x v="49"/>
          </reference>
          <reference field="18" count="1">
            <x v="6"/>
          </reference>
        </references>
      </pivotArea>
    </format>
    <format dxfId="1464">
      <pivotArea dataOnly="0" labelOnly="1" outline="0" fieldPosition="0">
        <references count="3">
          <reference field="9" count="1" selected="0">
            <x v="54"/>
          </reference>
          <reference field="10" count="1" selected="0">
            <x v="4"/>
          </reference>
          <reference field="18" count="1">
            <x v="15"/>
          </reference>
        </references>
      </pivotArea>
    </format>
    <format dxfId="1463">
      <pivotArea dataOnly="0" labelOnly="1" outline="0" fieldPosition="0">
        <references count="3">
          <reference field="9" count="1" selected="0">
            <x v="55"/>
          </reference>
          <reference field="10" count="1" selected="0">
            <x v="5"/>
          </reference>
          <reference field="18" count="9">
            <x v="3"/>
            <x v="5"/>
            <x v="6"/>
            <x v="7"/>
            <x v="11"/>
            <x v="13"/>
            <x v="19"/>
            <x v="21"/>
            <x v="27"/>
          </reference>
        </references>
      </pivotArea>
    </format>
    <format dxfId="1462">
      <pivotArea dataOnly="0" labelOnly="1" outline="0" fieldPosition="0">
        <references count="3">
          <reference field="9" count="1" selected="0">
            <x v="56"/>
          </reference>
          <reference field="10" count="1" selected="0">
            <x v="6"/>
          </reference>
          <reference field="18" count="9">
            <x v="3"/>
            <x v="5"/>
            <x v="6"/>
            <x v="7"/>
            <x v="8"/>
            <x v="11"/>
            <x v="13"/>
            <x v="22"/>
            <x v="27"/>
          </reference>
        </references>
      </pivotArea>
    </format>
    <format dxfId="1461">
      <pivotArea dataOnly="0" labelOnly="1" outline="0" fieldPosition="0">
        <references count="3">
          <reference field="9" count="1" selected="0">
            <x v="57"/>
          </reference>
          <reference field="10" count="1" selected="0">
            <x v="7"/>
          </reference>
          <reference field="18" count="10">
            <x v="3"/>
            <x v="5"/>
            <x v="6"/>
            <x v="7"/>
            <x v="11"/>
            <x v="13"/>
            <x v="15"/>
            <x v="16"/>
            <x v="22"/>
            <x v="27"/>
          </reference>
        </references>
      </pivotArea>
    </format>
    <format dxfId="1460">
      <pivotArea dataOnly="0" labelOnly="1" outline="0" fieldPosition="0">
        <references count="3">
          <reference field="9" count="1" selected="0">
            <x v="58"/>
          </reference>
          <reference field="10" count="1" selected="0">
            <x v="0"/>
          </reference>
          <reference field="18" count="11">
            <x v="0"/>
            <x v="3"/>
            <x v="5"/>
            <x v="8"/>
            <x v="9"/>
            <x v="12"/>
            <x v="18"/>
            <x v="19"/>
            <x v="22"/>
            <x v="25"/>
            <x v="28"/>
          </reference>
        </references>
      </pivotArea>
    </format>
    <format dxfId="1459">
      <pivotArea dataOnly="0" labelOnly="1" outline="0" fieldPosition="0">
        <references count="3">
          <reference field="9" count="1" selected="0">
            <x v="59"/>
          </reference>
          <reference field="10" count="1" selected="0">
            <x v="1"/>
          </reference>
          <reference field="18" count="9">
            <x v="3"/>
            <x v="4"/>
            <x v="8"/>
            <x v="9"/>
            <x v="12"/>
            <x v="19"/>
            <x v="22"/>
            <x v="28"/>
            <x v="30"/>
          </reference>
        </references>
      </pivotArea>
    </format>
    <format dxfId="1458">
      <pivotArea dataOnly="0" labelOnly="1" outline="0" fieldPosition="0">
        <references count="3">
          <reference field="9" count="1" selected="0">
            <x v="60"/>
          </reference>
          <reference field="10" count="1" selected="0">
            <x v="2"/>
          </reference>
          <reference field="18" count="9">
            <x v="4"/>
            <x v="5"/>
            <x v="6"/>
            <x v="8"/>
            <x v="12"/>
            <x v="19"/>
            <x v="22"/>
            <x v="25"/>
            <x v="28"/>
          </reference>
        </references>
      </pivotArea>
    </format>
    <format dxfId="1457">
      <pivotArea dataOnly="0" labelOnly="1" outline="0" fieldPosition="0">
        <references count="3">
          <reference field="9" count="1" selected="0">
            <x v="61"/>
          </reference>
          <reference field="10" count="1" selected="0">
            <x v="3"/>
          </reference>
          <reference field="18" count="12">
            <x v="0"/>
            <x v="3"/>
            <x v="4"/>
            <x v="8"/>
            <x v="9"/>
            <x v="12"/>
            <x v="19"/>
            <x v="22"/>
            <x v="24"/>
            <x v="25"/>
            <x v="28"/>
            <x v="30"/>
          </reference>
        </references>
      </pivotArea>
    </format>
    <format dxfId="1456">
      <pivotArea dataOnly="0" labelOnly="1" outline="0" fieldPosition="0">
        <references count="3">
          <reference field="9" count="1" selected="0">
            <x v="62"/>
          </reference>
          <reference field="10" count="1" selected="0">
            <x v="8"/>
          </reference>
          <reference field="18" count="2">
            <x v="6"/>
            <x v="22"/>
          </reference>
        </references>
      </pivotArea>
    </format>
    <format dxfId="1455">
      <pivotArea field="9" type="button" dataOnly="0" labelOnly="1" outline="0" axis="axisRow" fieldPosition="0"/>
    </format>
    <format dxfId="1454">
      <pivotArea field="10" type="button" dataOnly="0" labelOnly="1" outline="0" axis="axisRow" fieldPosition="1"/>
    </format>
    <format dxfId="1453">
      <pivotArea field="18" type="button" dataOnly="0" labelOnly="1" outline="0" axis="axisRow" fieldPosition="2"/>
    </format>
    <format dxfId="1452">
      <pivotArea field="14" type="button" dataOnly="0" labelOnly="1" outline="0" axis="axisRow" fieldPosition="3"/>
    </format>
    <format dxfId="1451">
      <pivotArea field="69" type="button" dataOnly="0" labelOnly="1" outline="0"/>
    </format>
    <format dxfId="1450">
      <pivotArea field="16" type="button" dataOnly="0" labelOnly="1" outline="0" axis="axisRow" fieldPosition="4"/>
    </format>
    <format dxfId="1449">
      <pivotArea outline="0" collapsedLevelsAreSubtotals="1" fieldPosition="0"/>
    </format>
    <format dxfId="1448">
      <pivotArea field="2" type="button" dataOnly="0" labelOnly="1" outline="0"/>
    </format>
    <format dxfId="1447">
      <pivotArea field="9" type="button" dataOnly="0" labelOnly="1" outline="0" axis="axisRow" fieldPosition="0"/>
    </format>
    <format dxfId="1446">
      <pivotArea field="10" type="button" dataOnly="0" labelOnly="1" outline="0" axis="axisRow" fieldPosition="1"/>
    </format>
    <format dxfId="1445">
      <pivotArea field="18" type="button" dataOnly="0" labelOnly="1" outline="0" axis="axisRow" fieldPosition="2"/>
    </format>
    <format dxfId="1444">
      <pivotArea field="14" type="button" dataOnly="0" labelOnly="1" outline="0" axis="axisRow" fieldPosition="3"/>
    </format>
    <format dxfId="1443">
      <pivotArea field="69" type="button" dataOnly="0" labelOnly="1" outline="0"/>
    </format>
    <format dxfId="1442">
      <pivotArea field="16" type="button" dataOnly="0" labelOnly="1" outline="0" axis="axisRow" fieldPosition="4"/>
    </format>
    <format dxfId="1441">
      <pivotArea dataOnly="0" labelOnly="1" grandRow="1" outline="0" fieldPosition="0"/>
    </format>
    <format dxfId="1440">
      <pivotArea field="2" type="button" dataOnly="0" labelOnly="1" outline="0"/>
    </format>
    <format dxfId="1439">
      <pivotArea type="all" dataOnly="0" outline="0" fieldPosition="0"/>
    </format>
    <format dxfId="1438">
      <pivotArea outline="0" collapsedLevelsAreSubtotals="1" fieldPosition="0"/>
    </format>
    <format dxfId="1437">
      <pivotArea type="origin" dataOnly="0" labelOnly="1" outline="0" fieldPosition="0"/>
    </format>
    <format dxfId="1436">
      <pivotArea field="2" type="button" dataOnly="0" labelOnly="1" outline="0"/>
    </format>
    <format dxfId="1435">
      <pivotArea field="9" type="button" dataOnly="0" labelOnly="1" outline="0" axis="axisRow" fieldPosition="0"/>
    </format>
    <format dxfId="1434">
      <pivotArea field="10" type="button" dataOnly="0" labelOnly="1" outline="0" axis="axisRow" fieldPosition="1"/>
    </format>
    <format dxfId="1433">
      <pivotArea field="18" type="button" dataOnly="0" labelOnly="1" outline="0" axis="axisRow" fieldPosition="2"/>
    </format>
    <format dxfId="1432">
      <pivotArea field="14" type="button" dataOnly="0" labelOnly="1" outline="0" axis="axisRow" fieldPosition="3"/>
    </format>
    <format dxfId="1431">
      <pivotArea field="69" type="button" dataOnly="0" labelOnly="1" outline="0"/>
    </format>
    <format dxfId="1430">
      <pivotArea field="16" type="button" dataOnly="0" labelOnly="1" outline="0" axis="axisRow" fieldPosition="4"/>
    </format>
    <format dxfId="1429">
      <pivotArea dataOnly="0" labelOnly="1" grandRow="1" outline="0" fieldPosition="0"/>
    </format>
    <format dxfId="1428">
      <pivotArea type="topRight" dataOnly="0" labelOnly="1" outline="0" fieldPosition="0"/>
    </format>
    <format dxfId="1427">
      <pivotArea type="all" dataOnly="0" outline="0" fieldPosition="0"/>
    </format>
    <format dxfId="1426">
      <pivotArea outline="0" collapsedLevelsAreSubtotals="1" fieldPosition="0"/>
    </format>
    <format dxfId="1425">
      <pivotArea type="origin" dataOnly="0" labelOnly="1" outline="0" fieldPosition="0"/>
    </format>
    <format dxfId="1424">
      <pivotArea field="2" type="button" dataOnly="0" labelOnly="1" outline="0"/>
    </format>
    <format dxfId="1423">
      <pivotArea field="9" type="button" dataOnly="0" labelOnly="1" outline="0" axis="axisRow" fieldPosition="0"/>
    </format>
    <format dxfId="1422">
      <pivotArea field="10" type="button" dataOnly="0" labelOnly="1" outline="0" axis="axisRow" fieldPosition="1"/>
    </format>
    <format dxfId="1421">
      <pivotArea field="18" type="button" dataOnly="0" labelOnly="1" outline="0" axis="axisRow" fieldPosition="2"/>
    </format>
    <format dxfId="1420">
      <pivotArea field="14" type="button" dataOnly="0" labelOnly="1" outline="0" axis="axisRow" fieldPosition="3"/>
    </format>
    <format dxfId="1419">
      <pivotArea field="69" type="button" dataOnly="0" labelOnly="1" outline="0"/>
    </format>
    <format dxfId="1418">
      <pivotArea field="16" type="button" dataOnly="0" labelOnly="1" outline="0" axis="axisRow" fieldPosition="4"/>
    </format>
    <format dxfId="1417">
      <pivotArea dataOnly="0" labelOnly="1" grandRow="1" outline="0" fieldPosition="0"/>
    </format>
    <format dxfId="1416">
      <pivotArea type="topRight" dataOnly="0" labelOnly="1" outline="0" fieldPosition="0"/>
    </format>
    <format dxfId="1415">
      <pivotArea outline="0" collapsedLevelsAreSubtotals="1" fieldPosition="0"/>
    </format>
    <format dxfId="1414">
      <pivotArea type="origin" dataOnly="0" labelOnly="1" outline="0" fieldPosition="0"/>
    </format>
    <format dxfId="1413">
      <pivotArea dataOnly="0" labelOnly="1" outline="0" fieldPosition="0">
        <references count="1">
          <reference field="18" count="0"/>
        </references>
      </pivotArea>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Agotado" cacheId="0" applyNumberFormats="0" applyBorderFormats="0" applyFontFormats="0" applyPatternFormats="0" applyAlignmentFormats="0" applyWidthHeightFormats="1" dataCaption="Valores" updatedVersion="6" minRefreshableVersion="3" itemPrintTitles="1" createdVersion="7" indent="0" compact="0" compactData="0" gridDropZones="1" multipleFieldFilters="0">
  <location ref="B5:G7" firstHeaderRow="2" firstDataRow="2" firstDataCol="5" rowPageCount="1" colPageCount="1"/>
  <pivotFields count="72">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4">
        <item m="1" x="3"/>
        <item m="1" x="2"/>
        <item m="1" x="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7">
        <item m="1" x="3"/>
        <item m="1" x="4"/>
        <item m="1" x="1"/>
        <item m="1" x="2"/>
        <item m="1" x="6"/>
        <item m="1" x="5"/>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name="Pedido" axis="axisRow" compact="0" outline="0" subtotalTop="0" showAll="0" defaultSubtotal="0">
      <items count="85">
        <item m="1" x="41"/>
        <item m="1" x="5"/>
        <item m="1" x="57"/>
        <item m="1" x="20"/>
        <item m="1" x="30"/>
        <item m="1" x="31"/>
        <item m="1" x="17"/>
        <item m="1" x="54"/>
        <item m="1" x="80"/>
        <item m="1" x="65"/>
        <item m="1" x="3"/>
        <item m="1" x="56"/>
        <item m="1" x="9"/>
        <item m="1" x="77"/>
        <item m="1" x="73"/>
        <item m="1" x="76"/>
        <item m="1" x="10"/>
        <item m="1" x="67"/>
        <item m="1" x="6"/>
        <item m="1" x="49"/>
        <item m="1" x="44"/>
        <item m="1" x="35"/>
        <item m="1" x="4"/>
        <item m="1" x="68"/>
        <item m="1" x="22"/>
        <item m="1" x="52"/>
        <item m="1" x="21"/>
        <item m="1" x="47"/>
        <item m="1" x="8"/>
        <item m="1" x="43"/>
        <item m="1" x="84"/>
        <item m="1" x="82"/>
        <item m="1" x="53"/>
        <item m="1" x="38"/>
        <item m="1" x="46"/>
        <item m="1" x="59"/>
        <item m="1" x="2"/>
        <item m="1" x="58"/>
        <item m="1" x="83"/>
        <item m="1" x="45"/>
        <item m="1" x="62"/>
        <item m="1" x="34"/>
        <item m="1" x="29"/>
        <item m="1" x="15"/>
        <item m="1" x="19"/>
        <item m="1" x="33"/>
        <item m="1" x="40"/>
        <item m="1" x="37"/>
        <item m="1" x="39"/>
        <item m="1" x="69"/>
        <item m="1" x="32"/>
        <item m="1" x="26"/>
        <item m="1" x="11"/>
        <item m="1" x="7"/>
        <item m="1" x="16"/>
        <item m="1" x="64"/>
        <item m="1" x="74"/>
        <item m="1" x="63"/>
        <item m="1" x="28"/>
        <item m="1" x="75"/>
        <item m="1" x="27"/>
        <item m="1" x="13"/>
        <item m="1" x="48"/>
        <item m="1" x="66"/>
        <item m="1" x="14"/>
        <item m="1" x="70"/>
        <item m="1" x="25"/>
        <item m="1" x="79"/>
        <item m="1" x="72"/>
        <item m="1" x="24"/>
        <item m="1" x="60"/>
        <item m="1" x="12"/>
        <item m="1" x="71"/>
        <item m="1" x="18"/>
        <item m="1" x="55"/>
        <item m="1" x="51"/>
        <item m="1" x="1"/>
        <item m="1" x="81"/>
        <item m="1" x="78"/>
        <item m="1" x="36"/>
        <item m="1" x="50"/>
        <item m="1" x="61"/>
        <item m="1" x="23"/>
        <item m="1" x="42"/>
        <item x="0"/>
      </items>
      <extLst>
        <ext xmlns:x14="http://schemas.microsoft.com/office/spreadsheetml/2009/9/main" uri="{2946ED86-A175-432a-8AC1-64E0C546D7DE}">
          <x14:pivotField fillDownLabels="1"/>
        </ext>
      </extLst>
    </pivotField>
    <pivotField name="Orden de Compra" axis="axisRow" compact="0" outline="0" subtotalTop="0" showAll="0" defaultSubtotal="0">
      <items count="83">
        <item m="1" x="11"/>
        <item m="1" x="35"/>
        <item m="1" x="49"/>
        <item m="1" x="71"/>
        <item m="1" x="64"/>
        <item m="1" x="81"/>
        <item m="1" x="20"/>
        <item m="1" x="2"/>
        <item m="1" x="15"/>
        <item m="1" x="25"/>
        <item m="1" x="26"/>
        <item m="1" x="27"/>
        <item m="1" x="28"/>
        <item m="1" x="66"/>
        <item m="1" x="67"/>
        <item m="1" x="68"/>
        <item m="1" x="69"/>
        <item m="1" x="34"/>
        <item m="1" x="36"/>
        <item m="1" x="38"/>
        <item m="1" x="39"/>
        <item m="1" x="7"/>
        <item m="1" x="10"/>
        <item m="1" x="52"/>
        <item m="1" x="54"/>
        <item m="1" x="73"/>
        <item m="1" x="76"/>
        <item m="1" x="77"/>
        <item m="1" x="80"/>
        <item m="1" x="12"/>
        <item m="1" x="55"/>
        <item m="1" x="56"/>
        <item m="1" x="57"/>
        <item m="1" x="44"/>
        <item m="1" x="46"/>
        <item m="1" x="16"/>
        <item m="1" x="17"/>
        <item m="1" x="45"/>
        <item m="1" x="48"/>
        <item m="1" x="50"/>
        <item m="1" x="51"/>
        <item m="1" x="13"/>
        <item m="1" x="14"/>
        <item m="1" x="59"/>
        <item m="1" x="61"/>
        <item m="1" x="1"/>
        <item m="1" x="3"/>
        <item m="1" x="4"/>
        <item m="1" x="47"/>
        <item m="1" x="22"/>
        <item m="1" x="23"/>
        <item m="1" x="72"/>
        <item m="1" x="74"/>
        <item m="1" x="78"/>
        <item m="1" x="37"/>
        <item m="1" x="58"/>
        <item m="1" x="60"/>
        <item m="1" x="8"/>
        <item m="1" x="9"/>
        <item m="1" x="30"/>
        <item m="1" x="82"/>
        <item m="1" x="75"/>
        <item m="1" x="41"/>
        <item m="1" x="62"/>
        <item m="1" x="31"/>
        <item m="1" x="79"/>
        <item m="1" x="18"/>
        <item m="1" x="29"/>
        <item m="1" x="32"/>
        <item m="1" x="5"/>
        <item m="1" x="19"/>
        <item m="1" x="33"/>
        <item m="1" x="24"/>
        <item m="1" x="65"/>
        <item m="1" x="63"/>
        <item m="1" x="43"/>
        <item m="1" x="42"/>
        <item m="1" x="40"/>
        <item m="1" x="53"/>
        <item m="1" x="6"/>
        <item m="1" x="70"/>
        <item m="1" x="2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61">
        <item m="1" x="10"/>
        <item m="1" x="60"/>
        <item m="1" x="32"/>
        <item m="1" x="44"/>
        <item m="1" x="59"/>
        <item m="1" x="4"/>
        <item m="1" x="3"/>
        <item m="1" x="26"/>
        <item m="1" x="16"/>
        <item m="1" x="24"/>
        <item m="1" x="55"/>
        <item m="1" x="37"/>
        <item m="1" x="7"/>
        <item m="1" x="42"/>
        <item m="1" x="45"/>
        <item m="1" x="41"/>
        <item m="1" x="31"/>
        <item m="1" x="40"/>
        <item m="1" x="25"/>
        <item m="1" x="30"/>
        <item m="1" x="39"/>
        <item m="1" x="22"/>
        <item m="1" x="5"/>
        <item m="1" x="46"/>
        <item m="1" x="19"/>
        <item m="1" x="47"/>
        <item m="1" x="54"/>
        <item m="1" x="48"/>
        <item m="1" x="13"/>
        <item m="1" x="12"/>
        <item m="1" x="27"/>
        <item m="1" x="14"/>
        <item m="1" x="52"/>
        <item m="1" x="29"/>
        <item m="1" x="6"/>
        <item m="1" x="23"/>
        <item m="1" x="49"/>
        <item m="1" x="11"/>
        <item m="1" x="15"/>
        <item m="1" x="53"/>
        <item m="1" x="58"/>
        <item m="1" x="57"/>
        <item m="1" x="36"/>
        <item m="1" x="33"/>
        <item m="1" x="51"/>
        <item m="1" x="50"/>
        <item m="1" x="9"/>
        <item m="1" x="17"/>
        <item m="1" x="18"/>
        <item m="1" x="43"/>
        <item m="1" x="20"/>
        <item m="1" x="2"/>
        <item m="1" x="38"/>
        <item m="1" x="28"/>
        <item m="1" x="35"/>
        <item m="1" x="34"/>
        <item m="1" x="8"/>
        <item m="1" x="56"/>
        <item m="1" x="21"/>
        <item m="1" x="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61">
        <item m="1" x="12"/>
        <item m="1" x="26"/>
        <item m="1" x="37"/>
        <item m="1" x="48"/>
        <item m="1" x="50"/>
        <item m="1" x="59"/>
        <item m="1" x="60"/>
        <item m="1" x="28"/>
        <item m="1" x="19"/>
        <item m="1" x="51"/>
        <item m="1" x="53"/>
        <item m="1" x="56"/>
        <item m="1" x="36"/>
        <item m="1" x="40"/>
        <item m="1" x="57"/>
        <item m="1" x="23"/>
        <item m="1" x="8"/>
        <item m="1" x="13"/>
        <item m="1" x="24"/>
        <item m="1" x="20"/>
        <item m="1" x="54"/>
        <item m="1" x="55"/>
        <item m="1" x="52"/>
        <item m="1" x="41"/>
        <item m="1" x="18"/>
        <item m="1" x="1"/>
        <item m="1" x="16"/>
        <item m="1" x="46"/>
        <item m="1" x="29"/>
        <item m="1" x="9"/>
        <item m="1" x="25"/>
        <item m="1" x="6"/>
        <item m="1" x="30"/>
        <item m="1" x="5"/>
        <item m="1" x="49"/>
        <item m="1" x="45"/>
        <item m="1" x="42"/>
        <item m="1" x="21"/>
        <item m="1" x="43"/>
        <item m="1" x="17"/>
        <item m="1" x="4"/>
        <item m="1" x="35"/>
        <item m="1" x="2"/>
        <item m="1" x="22"/>
        <item m="1" x="39"/>
        <item m="1" x="10"/>
        <item m="1" x="11"/>
        <item m="1" x="44"/>
        <item m="1" x="32"/>
        <item m="1" x="33"/>
        <item m="1" x="34"/>
        <item m="1" x="15"/>
        <item m="1" x="31"/>
        <item m="1" x="7"/>
        <item m="1" x="27"/>
        <item m="1" x="47"/>
        <item m="1" x="38"/>
        <item m="1" x="58"/>
        <item m="1" x="3"/>
        <item m="1" x="14"/>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name="EAN" axis="axisRow" compact="0" outline="0" subtotalTop="0" showAll="0" defaultSubtotal="0">
      <items count="34">
        <item m="1" x="5"/>
        <item m="1" x="1"/>
        <item m="1" x="7"/>
        <item m="1" x="32"/>
        <item m="1" x="30"/>
        <item m="1" x="13"/>
        <item m="1" x="23"/>
        <item m="1" x="18"/>
        <item m="1" x="31"/>
        <item m="1" x="14"/>
        <item m="1" x="4"/>
        <item m="1" x="26"/>
        <item m="1" x="15"/>
        <item m="1" x="33"/>
        <item m="1" x="10"/>
        <item m="1" x="12"/>
        <item m="1" x="16"/>
        <item m="1" x="19"/>
        <item m="1" x="17"/>
        <item m="1" x="24"/>
        <item m="1" x="25"/>
        <item m="1" x="22"/>
        <item m="1" x="11"/>
        <item m="1" x="8"/>
        <item m="1" x="2"/>
        <item m="1" x="28"/>
        <item m="1" x="20"/>
        <item m="1" x="3"/>
        <item m="1" x="9"/>
        <item m="1" x="29"/>
        <item m="1" x="21"/>
        <item m="1" x="27"/>
        <item m="1" x="6"/>
        <item x="0"/>
      </items>
      <extLst>
        <ext xmlns:x14="http://schemas.microsoft.com/office/spreadsheetml/2009/9/main" uri="{2946ED86-A175-432a-8AC1-64E0C546D7DE}">
          <x14:pivotField fillDownLabels="1"/>
        </ext>
      </extLst>
    </pivotField>
    <pivotField compact="0" numFmtId="14" outline="0" subtotalTop="0" showAll="0" defaultSubtotal="0">
      <items count="35">
        <item m="1" x="34"/>
        <item m="1" x="23"/>
        <item m="1" x="21"/>
        <item m="1" x="8"/>
        <item m="1" x="30"/>
        <item m="1" x="12"/>
        <item m="1" x="6"/>
        <item m="1" x="28"/>
        <item m="1" x="11"/>
        <item m="1" x="26"/>
        <item m="1" x="4"/>
        <item m="1" x="19"/>
        <item m="1" x="33"/>
        <item m="1" x="9"/>
        <item m="1" x="25"/>
        <item m="1" x="1"/>
        <item m="1" x="17"/>
        <item m="1" x="32"/>
        <item m="1" x="3"/>
        <item m="1" x="18"/>
        <item m="1" x="13"/>
        <item m="1" x="27"/>
        <item m="1" x="14"/>
        <item m="1" x="20"/>
        <item m="1" x="10"/>
        <item m="1" x="16"/>
        <item m="1" x="5"/>
        <item m="1" x="15"/>
        <item m="1" x="31"/>
        <item m="1" x="7"/>
        <item m="1" x="24"/>
        <item m="1" x="29"/>
        <item m="1" x="22"/>
        <item m="1" x="2"/>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Page" compact="0" outline="0" subtotalTop="0" multipleItemSelectionAllowed="1" showAll="0" defaultSubtotal="0">
      <items count="8">
        <item m="1" x="2"/>
        <item h="1" m="1" x="1"/>
        <item h="1" m="1" x="3"/>
        <item h="1" m="1" x="7"/>
        <item h="1" m="1" x="4"/>
        <item h="1" m="1" x="6"/>
        <item h="1" m="1" x="5"/>
        <item h="1"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items count="84">
        <item m="1" x="49"/>
        <item m="1" x="45"/>
        <item m="1" x="21"/>
        <item m="1" x="72"/>
        <item m="1" x="43"/>
        <item m="1" x="26"/>
        <item m="1" x="38"/>
        <item m="1" x="16"/>
        <item m="1" x="52"/>
        <item m="1" x="42"/>
        <item m="1" x="58"/>
        <item m="1" x="30"/>
        <item m="1" x="44"/>
        <item m="1" x="47"/>
        <item m="1" x="41"/>
        <item m="1" x="31"/>
        <item m="1" x="40"/>
        <item m="1" x="32"/>
        <item m="1" x="7"/>
        <item m="1" x="69"/>
        <item m="1" x="65"/>
        <item m="1" x="13"/>
        <item m="1" x="25"/>
        <item m="1" x="15"/>
        <item m="1" x="74"/>
        <item m="1" x="51"/>
        <item m="1" x="33"/>
        <item m="1" x="60"/>
        <item m="1" x="54"/>
        <item m="1" x="27"/>
        <item m="1" x="9"/>
        <item m="1" x="83"/>
        <item m="1" x="8"/>
        <item m="1" x="39"/>
        <item m="1" x="3"/>
        <item m="1" x="18"/>
        <item m="1" x="17"/>
        <item m="1" x="81"/>
        <item m="1" x="20"/>
        <item m="1" x="6"/>
        <item m="1" x="5"/>
        <item m="1" x="66"/>
        <item m="1" x="14"/>
        <item m="1" x="71"/>
        <item m="1" x="80"/>
        <item m="1" x="68"/>
        <item m="1" x="63"/>
        <item m="1" x="82"/>
        <item m="1" x="48"/>
        <item m="1" x="46"/>
        <item m="1" x="2"/>
        <item m="1" x="23"/>
        <item m="1" x="22"/>
        <item m="1" x="35"/>
        <item m="1" x="78"/>
        <item m="1" x="37"/>
        <item m="1" x="55"/>
        <item m="1" x="11"/>
        <item m="1" x="70"/>
        <item m="1" x="73"/>
        <item m="1" x="1"/>
        <item m="1" x="12"/>
        <item m="1" x="4"/>
        <item m="1" x="50"/>
        <item m="1" x="79"/>
        <item m="1" x="34"/>
        <item m="1" x="62"/>
        <item m="1" x="76"/>
        <item m="1" x="28"/>
        <item m="1" x="59"/>
        <item m="1" x="10"/>
        <item m="1" x="36"/>
        <item m="1" x="53"/>
        <item m="1" x="24"/>
        <item m="1" x="64"/>
        <item m="1" x="57"/>
        <item m="1" x="77"/>
        <item m="1" x="19"/>
        <item m="1" x="75"/>
        <item m="1" x="61"/>
        <item m="1" x="29"/>
        <item m="1" x="56"/>
        <item m="1" x="67"/>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numFmtId="1" outline="0" subtotalTop="0" showAll="0" defaultSubtotal="0">
      <extLst>
        <ext xmlns:x14="http://schemas.microsoft.com/office/spreadsheetml/2009/9/main" uri="{2946ED86-A175-432a-8AC1-64E0C546D7DE}">
          <x14:pivotField fillDownLabels="1"/>
        </ext>
      </extLst>
    </pivotField>
  </pivotFields>
  <rowFields count="5">
    <field x="9"/>
    <field x="10"/>
    <field x="18"/>
    <field x="14"/>
    <field x="16"/>
  </rowFields>
  <rowItems count="1">
    <i t="grand">
      <x/>
    </i>
  </rowItems>
  <colItems count="1">
    <i/>
  </colItems>
  <pageFields count="1">
    <pageField fld="67" hier="-1"/>
  </pageFields>
  <dataFields count="1">
    <dataField name="Sum of Sin Despacho" fld="71" baseField="0" baseItem="0"/>
  </dataFields>
  <formats count="114">
    <format dxfId="1412">
      <pivotArea outline="0" collapsedLevelsAreSubtotals="1" fieldPosition="0"/>
    </format>
    <format dxfId="1411">
      <pivotArea field="67" type="button" dataOnly="0" labelOnly="1" outline="0" axis="axisPage" fieldPosition="0"/>
    </format>
    <format dxfId="1410">
      <pivotArea type="origin" dataOnly="0" labelOnly="1" outline="0" fieldPosition="0"/>
    </format>
    <format dxfId="1409">
      <pivotArea type="all" dataOnly="0" outline="0" fieldPosition="0"/>
    </format>
    <format dxfId="1408">
      <pivotArea type="origin" dataOnly="0" labelOnly="1" outline="0" fieldPosition="0"/>
    </format>
    <format dxfId="1407">
      <pivotArea field="9" type="button" dataOnly="0" labelOnly="1" outline="0" axis="axisRow" fieldPosition="0"/>
    </format>
    <format dxfId="1406">
      <pivotArea field="10" type="button" dataOnly="0" labelOnly="1" outline="0" axis="axisRow" fieldPosition="1"/>
    </format>
    <format dxfId="1405">
      <pivotArea field="18" type="button" dataOnly="0" labelOnly="1" outline="0" axis="axisRow" fieldPosition="2"/>
    </format>
    <format dxfId="1404">
      <pivotArea field="14" type="button" dataOnly="0" labelOnly="1" outline="0" axis="axisRow" fieldPosition="3"/>
    </format>
    <format dxfId="1403">
      <pivotArea field="69" type="button" dataOnly="0" labelOnly="1" outline="0"/>
    </format>
    <format dxfId="1402">
      <pivotArea field="16" type="button" dataOnly="0" labelOnly="1" outline="0" axis="axisRow" fieldPosition="4"/>
    </format>
    <format dxfId="1401">
      <pivotArea dataOnly="0" labelOnly="1" outline="0" fieldPosition="0">
        <references count="1">
          <reference field="9"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400">
      <pivotArea dataOnly="0" labelOnly="1" outline="0" fieldPosition="0">
        <references count="1">
          <reference field="9" count="13">
            <x v="50"/>
            <x v="51"/>
            <x v="52"/>
            <x v="53"/>
            <x v="54"/>
            <x v="55"/>
            <x v="56"/>
            <x v="57"/>
            <x v="58"/>
            <x v="59"/>
            <x v="60"/>
            <x v="61"/>
            <x v="62"/>
          </reference>
        </references>
      </pivotArea>
    </format>
    <format dxfId="1399">
      <pivotArea dataOnly="0" labelOnly="1" grandRow="1" outline="0" fieldPosition="0"/>
    </format>
    <format dxfId="1398">
      <pivotArea dataOnly="0" labelOnly="1" outline="0" fieldPosition="0">
        <references count="2">
          <reference field="9" count="1" selected="0">
            <x v="0"/>
          </reference>
          <reference field="10" count="1">
            <x v="58"/>
          </reference>
        </references>
      </pivotArea>
    </format>
    <format dxfId="1397">
      <pivotArea dataOnly="0" labelOnly="1" outline="0" fieldPosition="0">
        <references count="2">
          <reference field="9" count="1" selected="0">
            <x v="1"/>
          </reference>
          <reference field="10" count="1">
            <x v="57"/>
          </reference>
        </references>
      </pivotArea>
    </format>
    <format dxfId="1396">
      <pivotArea dataOnly="0" labelOnly="1" outline="0" fieldPosition="0">
        <references count="2">
          <reference field="9" count="1" selected="0">
            <x v="2"/>
          </reference>
          <reference field="10" count="1">
            <x v="56"/>
          </reference>
        </references>
      </pivotArea>
    </format>
    <format dxfId="1395">
      <pivotArea dataOnly="0" labelOnly="1" outline="0" fieldPosition="0">
        <references count="2">
          <reference field="9" count="1" selected="0">
            <x v="3"/>
          </reference>
          <reference field="10" count="1">
            <x v="55"/>
          </reference>
        </references>
      </pivotArea>
    </format>
    <format dxfId="1394">
      <pivotArea dataOnly="0" labelOnly="1" outline="0" fieldPosition="0">
        <references count="2">
          <reference field="9" count="1" selected="0">
            <x v="4"/>
          </reference>
          <reference field="10" count="1">
            <x v="54"/>
          </reference>
        </references>
      </pivotArea>
    </format>
    <format dxfId="1393">
      <pivotArea dataOnly="0" labelOnly="1" outline="0" fieldPosition="0">
        <references count="2">
          <reference field="9" count="1" selected="0">
            <x v="5"/>
          </reference>
          <reference field="10" count="1">
            <x v="59"/>
          </reference>
        </references>
      </pivotArea>
    </format>
    <format dxfId="1392">
      <pivotArea dataOnly="0" labelOnly="1" outline="0" fieldPosition="0">
        <references count="2">
          <reference field="9" count="1" selected="0">
            <x v="6"/>
          </reference>
          <reference field="10" count="1">
            <x v="53"/>
          </reference>
        </references>
      </pivotArea>
    </format>
    <format dxfId="1391">
      <pivotArea dataOnly="0" labelOnly="1" outline="0" fieldPosition="0">
        <references count="2">
          <reference field="9" count="1" selected="0">
            <x v="7"/>
          </reference>
          <reference field="10" count="1">
            <x v="60"/>
          </reference>
        </references>
      </pivotArea>
    </format>
    <format dxfId="1390">
      <pivotArea dataOnly="0" labelOnly="1" outline="0" fieldPosition="0">
        <references count="2">
          <reference field="9" count="1" selected="0">
            <x v="8"/>
          </reference>
          <reference field="10" count="1">
            <x v="61"/>
          </reference>
        </references>
      </pivotArea>
    </format>
    <format dxfId="1389">
      <pivotArea dataOnly="0" labelOnly="1" outline="0" fieldPosition="0">
        <references count="2">
          <reference field="9" count="1" selected="0">
            <x v="9"/>
          </reference>
          <reference field="10" count="1">
            <x v="62"/>
          </reference>
        </references>
      </pivotArea>
    </format>
    <format dxfId="1388">
      <pivotArea dataOnly="0" labelOnly="1" outline="0" fieldPosition="0">
        <references count="2">
          <reference field="9" count="1" selected="0">
            <x v="10"/>
          </reference>
          <reference field="10" count="1">
            <x v="10"/>
          </reference>
        </references>
      </pivotArea>
    </format>
    <format dxfId="1387">
      <pivotArea dataOnly="0" labelOnly="1" outline="0" fieldPosition="0">
        <references count="2">
          <reference field="9" count="1" selected="0">
            <x v="11"/>
          </reference>
          <reference field="10" count="1">
            <x v="14"/>
          </reference>
        </references>
      </pivotArea>
    </format>
    <format dxfId="1386">
      <pivotArea dataOnly="0" labelOnly="1" outline="0" fieldPosition="0">
        <references count="2">
          <reference field="9" count="1" selected="0">
            <x v="12"/>
          </reference>
          <reference field="10" count="1">
            <x v="18"/>
          </reference>
        </references>
      </pivotArea>
    </format>
    <format dxfId="1385">
      <pivotArea dataOnly="0" labelOnly="1" outline="0" fieldPosition="0">
        <references count="2">
          <reference field="9" count="1" selected="0">
            <x v="13"/>
          </reference>
          <reference field="10" count="1">
            <x v="22"/>
          </reference>
        </references>
      </pivotArea>
    </format>
    <format dxfId="1384">
      <pivotArea dataOnly="0" labelOnly="1" outline="0" fieldPosition="0">
        <references count="2">
          <reference field="9" count="1" selected="0">
            <x v="14"/>
          </reference>
          <reference field="10" count="1">
            <x v="26"/>
          </reference>
        </references>
      </pivotArea>
    </format>
    <format dxfId="1383">
      <pivotArea dataOnly="0" labelOnly="1" outline="0" fieldPosition="0">
        <references count="2">
          <reference field="9" count="1" selected="0">
            <x v="15"/>
          </reference>
          <reference field="10" count="1">
            <x v="30"/>
          </reference>
        </references>
      </pivotArea>
    </format>
    <format dxfId="1382">
      <pivotArea dataOnly="0" labelOnly="1" outline="0" fieldPosition="0">
        <references count="2">
          <reference field="9" count="1" selected="0">
            <x v="16"/>
          </reference>
          <reference field="10" count="1">
            <x v="34"/>
          </reference>
        </references>
      </pivotArea>
    </format>
    <format dxfId="1381">
      <pivotArea dataOnly="0" labelOnly="1" outline="0" fieldPosition="0">
        <references count="2">
          <reference field="9" count="1" selected="0">
            <x v="17"/>
          </reference>
          <reference field="10" count="1">
            <x v="38"/>
          </reference>
        </references>
      </pivotArea>
    </format>
    <format dxfId="1380">
      <pivotArea dataOnly="0" labelOnly="1" outline="0" fieldPosition="0">
        <references count="2">
          <reference field="9" count="1" selected="0">
            <x v="18"/>
          </reference>
          <reference field="10" count="1">
            <x v="42"/>
          </reference>
        </references>
      </pivotArea>
    </format>
    <format dxfId="1379">
      <pivotArea dataOnly="0" labelOnly="1" outline="0" fieldPosition="0">
        <references count="2">
          <reference field="9" count="1" selected="0">
            <x v="19"/>
          </reference>
          <reference field="10" count="1">
            <x v="46"/>
          </reference>
        </references>
      </pivotArea>
    </format>
    <format dxfId="1378">
      <pivotArea dataOnly="0" labelOnly="1" outline="0" fieldPosition="0">
        <references count="2">
          <reference field="9" count="1" selected="0">
            <x v="20"/>
          </reference>
          <reference field="10" count="1">
            <x v="50"/>
          </reference>
        </references>
      </pivotArea>
    </format>
    <format dxfId="1377">
      <pivotArea dataOnly="0" labelOnly="1" outline="0" fieldPosition="0">
        <references count="2">
          <reference field="9" count="1" selected="0">
            <x v="21"/>
          </reference>
          <reference field="10" count="1">
            <x v="11"/>
          </reference>
        </references>
      </pivotArea>
    </format>
    <format dxfId="1376">
      <pivotArea dataOnly="0" labelOnly="1" outline="0" fieldPosition="0">
        <references count="2">
          <reference field="9" count="1" selected="0">
            <x v="22"/>
          </reference>
          <reference field="10" count="1">
            <x v="15"/>
          </reference>
        </references>
      </pivotArea>
    </format>
    <format dxfId="1375">
      <pivotArea dataOnly="0" labelOnly="1" outline="0" fieldPosition="0">
        <references count="2">
          <reference field="9" count="1" selected="0">
            <x v="23"/>
          </reference>
          <reference field="10" count="1">
            <x v="19"/>
          </reference>
        </references>
      </pivotArea>
    </format>
    <format dxfId="1374">
      <pivotArea dataOnly="0" labelOnly="1" outline="0" fieldPosition="0">
        <references count="2">
          <reference field="9" count="1" selected="0">
            <x v="24"/>
          </reference>
          <reference field="10" count="1">
            <x v="23"/>
          </reference>
        </references>
      </pivotArea>
    </format>
    <format dxfId="1373">
      <pivotArea dataOnly="0" labelOnly="1" outline="0" fieldPosition="0">
        <references count="2">
          <reference field="9" count="1" selected="0">
            <x v="25"/>
          </reference>
          <reference field="10" count="1">
            <x v="27"/>
          </reference>
        </references>
      </pivotArea>
    </format>
    <format dxfId="1372">
      <pivotArea dataOnly="0" labelOnly="1" outline="0" fieldPosition="0">
        <references count="2">
          <reference field="9" count="1" selected="0">
            <x v="26"/>
          </reference>
          <reference field="10" count="1">
            <x v="31"/>
          </reference>
        </references>
      </pivotArea>
    </format>
    <format dxfId="1371">
      <pivotArea dataOnly="0" labelOnly="1" outline="0" fieldPosition="0">
        <references count="2">
          <reference field="9" count="1" selected="0">
            <x v="27"/>
          </reference>
          <reference field="10" count="1">
            <x v="35"/>
          </reference>
        </references>
      </pivotArea>
    </format>
    <format dxfId="1370">
      <pivotArea dataOnly="0" labelOnly="1" outline="0" fieldPosition="0">
        <references count="2">
          <reference field="9" count="1" selected="0">
            <x v="28"/>
          </reference>
          <reference field="10" count="1">
            <x v="39"/>
          </reference>
        </references>
      </pivotArea>
    </format>
    <format dxfId="1369">
      <pivotArea dataOnly="0" labelOnly="1" outline="0" fieldPosition="0">
        <references count="2">
          <reference field="9" count="1" selected="0">
            <x v="29"/>
          </reference>
          <reference field="10" count="1">
            <x v="43"/>
          </reference>
        </references>
      </pivotArea>
    </format>
    <format dxfId="1368">
      <pivotArea dataOnly="0" labelOnly="1" outline="0" fieldPosition="0">
        <references count="2">
          <reference field="9" count="1" selected="0">
            <x v="30"/>
          </reference>
          <reference field="10" count="1">
            <x v="47"/>
          </reference>
        </references>
      </pivotArea>
    </format>
    <format dxfId="1367">
      <pivotArea dataOnly="0" labelOnly="1" outline="0" fieldPosition="0">
        <references count="2">
          <reference field="9" count="1" selected="0">
            <x v="31"/>
          </reference>
          <reference field="10" count="1">
            <x v="51"/>
          </reference>
        </references>
      </pivotArea>
    </format>
    <format dxfId="1366">
      <pivotArea dataOnly="0" labelOnly="1" outline="0" fieldPosition="0">
        <references count="2">
          <reference field="9" count="1" selected="0">
            <x v="32"/>
          </reference>
          <reference field="10" count="1">
            <x v="12"/>
          </reference>
        </references>
      </pivotArea>
    </format>
    <format dxfId="1365">
      <pivotArea dataOnly="0" labelOnly="1" outline="0" fieldPosition="0">
        <references count="2">
          <reference field="9" count="1" selected="0">
            <x v="33"/>
          </reference>
          <reference field="10" count="1">
            <x v="16"/>
          </reference>
        </references>
      </pivotArea>
    </format>
    <format dxfId="1364">
      <pivotArea dataOnly="0" labelOnly="1" outline="0" fieldPosition="0">
        <references count="2">
          <reference field="9" count="1" selected="0">
            <x v="34"/>
          </reference>
          <reference field="10" count="1">
            <x v="20"/>
          </reference>
        </references>
      </pivotArea>
    </format>
    <format dxfId="1363">
      <pivotArea dataOnly="0" labelOnly="1" outline="0" fieldPosition="0">
        <references count="2">
          <reference field="9" count="1" selected="0">
            <x v="35"/>
          </reference>
          <reference field="10" count="1">
            <x v="24"/>
          </reference>
        </references>
      </pivotArea>
    </format>
    <format dxfId="1362">
      <pivotArea dataOnly="0" labelOnly="1" outline="0" fieldPosition="0">
        <references count="2">
          <reference field="9" count="1" selected="0">
            <x v="36"/>
          </reference>
          <reference field="10" count="1">
            <x v="28"/>
          </reference>
        </references>
      </pivotArea>
    </format>
    <format dxfId="1361">
      <pivotArea dataOnly="0" labelOnly="1" outline="0" fieldPosition="0">
        <references count="2">
          <reference field="9" count="1" selected="0">
            <x v="37"/>
          </reference>
          <reference field="10" count="1">
            <x v="32"/>
          </reference>
        </references>
      </pivotArea>
    </format>
    <format dxfId="1360">
      <pivotArea dataOnly="0" labelOnly="1" outline="0" fieldPosition="0">
        <references count="2">
          <reference field="9" count="1" selected="0">
            <x v="38"/>
          </reference>
          <reference field="10" count="1">
            <x v="36"/>
          </reference>
        </references>
      </pivotArea>
    </format>
    <format dxfId="1359">
      <pivotArea dataOnly="0" labelOnly="1" outline="0" fieldPosition="0">
        <references count="2">
          <reference field="9" count="1" selected="0">
            <x v="39"/>
          </reference>
          <reference field="10" count="1">
            <x v="40"/>
          </reference>
        </references>
      </pivotArea>
    </format>
    <format dxfId="1358">
      <pivotArea dataOnly="0" labelOnly="1" outline="0" fieldPosition="0">
        <references count="2">
          <reference field="9" count="1" selected="0">
            <x v="40"/>
          </reference>
          <reference field="10" count="1">
            <x v="44"/>
          </reference>
        </references>
      </pivotArea>
    </format>
    <format dxfId="1357">
      <pivotArea dataOnly="0" labelOnly="1" outline="0" fieldPosition="0">
        <references count="2">
          <reference field="9" count="1" selected="0">
            <x v="41"/>
          </reference>
          <reference field="10" count="1">
            <x v="48"/>
          </reference>
        </references>
      </pivotArea>
    </format>
    <format dxfId="1356">
      <pivotArea dataOnly="0" labelOnly="1" outline="0" fieldPosition="0">
        <references count="2">
          <reference field="9" count="1" selected="0">
            <x v="42"/>
          </reference>
          <reference field="10" count="1">
            <x v="52"/>
          </reference>
        </references>
      </pivotArea>
    </format>
    <format dxfId="1355">
      <pivotArea dataOnly="0" labelOnly="1" outline="0" fieldPosition="0">
        <references count="2">
          <reference field="9" count="1" selected="0">
            <x v="43"/>
          </reference>
          <reference field="10" count="1">
            <x v="9"/>
          </reference>
        </references>
      </pivotArea>
    </format>
    <format dxfId="1354">
      <pivotArea dataOnly="0" labelOnly="1" outline="0" fieldPosition="0">
        <references count="2">
          <reference field="9" count="1" selected="0">
            <x v="44"/>
          </reference>
          <reference field="10" count="1">
            <x v="13"/>
          </reference>
        </references>
      </pivotArea>
    </format>
    <format dxfId="1353">
      <pivotArea dataOnly="0" labelOnly="1" outline="0" fieldPosition="0">
        <references count="2">
          <reference field="9" count="1" selected="0">
            <x v="45"/>
          </reference>
          <reference field="10" count="1">
            <x v="17"/>
          </reference>
        </references>
      </pivotArea>
    </format>
    <format dxfId="1352">
      <pivotArea dataOnly="0" labelOnly="1" outline="0" fieldPosition="0">
        <references count="2">
          <reference field="9" count="1" selected="0">
            <x v="46"/>
          </reference>
          <reference field="10" count="1">
            <x v="21"/>
          </reference>
        </references>
      </pivotArea>
    </format>
    <format dxfId="1351">
      <pivotArea dataOnly="0" labelOnly="1" outline="0" fieldPosition="0">
        <references count="2">
          <reference field="9" count="1" selected="0">
            <x v="47"/>
          </reference>
          <reference field="10" count="1">
            <x v="25"/>
          </reference>
        </references>
      </pivotArea>
    </format>
    <format dxfId="1350">
      <pivotArea dataOnly="0" labelOnly="1" outline="0" fieldPosition="0">
        <references count="2">
          <reference field="9" count="1" selected="0">
            <x v="48"/>
          </reference>
          <reference field="10" count="1">
            <x v="29"/>
          </reference>
        </references>
      </pivotArea>
    </format>
    <format dxfId="1349">
      <pivotArea dataOnly="0" labelOnly="1" outline="0" fieldPosition="0">
        <references count="2">
          <reference field="9" count="1" selected="0">
            <x v="49"/>
          </reference>
          <reference field="10" count="1">
            <x v="33"/>
          </reference>
        </references>
      </pivotArea>
    </format>
    <format dxfId="1348">
      <pivotArea dataOnly="0" labelOnly="1" outline="0" fieldPosition="0">
        <references count="2">
          <reference field="9" count="1" selected="0">
            <x v="50"/>
          </reference>
          <reference field="10" count="1">
            <x v="37"/>
          </reference>
        </references>
      </pivotArea>
    </format>
    <format dxfId="1347">
      <pivotArea dataOnly="0" labelOnly="1" outline="0" fieldPosition="0">
        <references count="2">
          <reference field="9" count="1" selected="0">
            <x v="51"/>
          </reference>
          <reference field="10" count="1">
            <x v="41"/>
          </reference>
        </references>
      </pivotArea>
    </format>
    <format dxfId="1346">
      <pivotArea dataOnly="0" labelOnly="1" outline="0" fieldPosition="0">
        <references count="2">
          <reference field="9" count="1" selected="0">
            <x v="52"/>
          </reference>
          <reference field="10" count="1">
            <x v="45"/>
          </reference>
        </references>
      </pivotArea>
    </format>
    <format dxfId="1345">
      <pivotArea dataOnly="0" labelOnly="1" outline="0" fieldPosition="0">
        <references count="2">
          <reference field="9" count="1" selected="0">
            <x v="53"/>
          </reference>
          <reference field="10" count="1">
            <x v="49"/>
          </reference>
        </references>
      </pivotArea>
    </format>
    <format dxfId="1344">
      <pivotArea dataOnly="0" labelOnly="1" outline="0" fieldPosition="0">
        <references count="2">
          <reference field="9" count="1" selected="0">
            <x v="54"/>
          </reference>
          <reference field="10" count="1">
            <x v="4"/>
          </reference>
        </references>
      </pivotArea>
    </format>
    <format dxfId="1343">
      <pivotArea dataOnly="0" labelOnly="1" outline="0" fieldPosition="0">
        <references count="2">
          <reference field="9" count="1" selected="0">
            <x v="55"/>
          </reference>
          <reference field="10" count="1">
            <x v="5"/>
          </reference>
        </references>
      </pivotArea>
    </format>
    <format dxfId="1342">
      <pivotArea dataOnly="0" labelOnly="1" outline="0" fieldPosition="0">
        <references count="2">
          <reference field="9" count="1" selected="0">
            <x v="56"/>
          </reference>
          <reference field="10" count="1">
            <x v="6"/>
          </reference>
        </references>
      </pivotArea>
    </format>
    <format dxfId="1341">
      <pivotArea dataOnly="0" labelOnly="1" outline="0" fieldPosition="0">
        <references count="2">
          <reference field="9" count="1" selected="0">
            <x v="57"/>
          </reference>
          <reference field="10" count="1">
            <x v="7"/>
          </reference>
        </references>
      </pivotArea>
    </format>
    <format dxfId="1340">
      <pivotArea dataOnly="0" labelOnly="1" outline="0" fieldPosition="0">
        <references count="2">
          <reference field="9" count="1" selected="0">
            <x v="58"/>
          </reference>
          <reference field="10" count="1">
            <x v="0"/>
          </reference>
        </references>
      </pivotArea>
    </format>
    <format dxfId="1339">
      <pivotArea dataOnly="0" labelOnly="1" outline="0" fieldPosition="0">
        <references count="2">
          <reference field="9" count="1" selected="0">
            <x v="59"/>
          </reference>
          <reference field="10" count="1">
            <x v="1"/>
          </reference>
        </references>
      </pivotArea>
    </format>
    <format dxfId="1338">
      <pivotArea dataOnly="0" labelOnly="1" outline="0" fieldPosition="0">
        <references count="2">
          <reference field="9" count="1" selected="0">
            <x v="60"/>
          </reference>
          <reference field="10" count="1">
            <x v="2"/>
          </reference>
        </references>
      </pivotArea>
    </format>
    <format dxfId="1337">
      <pivotArea dataOnly="0" labelOnly="1" outline="0" fieldPosition="0">
        <references count="2">
          <reference field="9" count="1" selected="0">
            <x v="61"/>
          </reference>
          <reference field="10" count="1">
            <x v="3"/>
          </reference>
        </references>
      </pivotArea>
    </format>
    <format dxfId="1336">
      <pivotArea dataOnly="0" labelOnly="1" outline="0" fieldPosition="0">
        <references count="2">
          <reference field="9" count="1" selected="0">
            <x v="62"/>
          </reference>
          <reference field="10" count="1">
            <x v="8"/>
          </reference>
        </references>
      </pivotArea>
    </format>
    <format dxfId="1335">
      <pivotArea type="topRight" dataOnly="0" labelOnly="1" outline="0" fieldPosition="0"/>
    </format>
    <format dxfId="1334">
      <pivotArea field="18" type="button" dataOnly="0" labelOnly="1" outline="0" axis="axisRow" fieldPosition="2"/>
    </format>
    <format dxfId="1333">
      <pivotArea outline="0" collapsedLevelsAreSubtotals="1" fieldPosition="0"/>
    </format>
    <format dxfId="1332">
      <pivotArea field="9" type="button" dataOnly="0" labelOnly="1" outline="0" axis="axisRow" fieldPosition="0"/>
    </format>
    <format dxfId="1331">
      <pivotArea field="10" type="button" dataOnly="0" labelOnly="1" outline="0" axis="axisRow" fieldPosition="1"/>
    </format>
    <format dxfId="1330">
      <pivotArea field="18" type="button" dataOnly="0" labelOnly="1" outline="0" axis="axisRow" fieldPosition="2"/>
    </format>
    <format dxfId="1329">
      <pivotArea field="14" type="button" dataOnly="0" labelOnly="1" outline="0" axis="axisRow" fieldPosition="3"/>
    </format>
    <format dxfId="1328">
      <pivotArea field="69" type="button" dataOnly="0" labelOnly="1" outline="0"/>
    </format>
    <format dxfId="1327">
      <pivotArea field="16" type="button" dataOnly="0" labelOnly="1" outline="0" axis="axisRow" fieldPosition="4"/>
    </format>
    <format dxfId="1326">
      <pivotArea field="2" type="button" dataOnly="0" labelOnly="1" outline="0"/>
    </format>
    <format dxfId="1325">
      <pivotArea type="all" dataOnly="0" outline="0" fieldPosition="0"/>
    </format>
    <format dxfId="1324">
      <pivotArea outline="0" collapsedLevelsAreSubtotals="1" fieldPosition="0"/>
    </format>
    <format dxfId="1323">
      <pivotArea type="origin" dataOnly="0" labelOnly="1" outline="0" fieldPosition="0"/>
    </format>
    <format dxfId="1322">
      <pivotArea field="2" type="button" dataOnly="0" labelOnly="1" outline="0"/>
    </format>
    <format dxfId="1321">
      <pivotArea field="9" type="button" dataOnly="0" labelOnly="1" outline="0" axis="axisRow" fieldPosition="0"/>
    </format>
    <format dxfId="1320">
      <pivotArea field="10" type="button" dataOnly="0" labelOnly="1" outline="0" axis="axisRow" fieldPosition="1"/>
    </format>
    <format dxfId="1319">
      <pivotArea field="18" type="button" dataOnly="0" labelOnly="1" outline="0" axis="axisRow" fieldPosition="2"/>
    </format>
    <format dxfId="1318">
      <pivotArea field="14" type="button" dataOnly="0" labelOnly="1" outline="0" axis="axisRow" fieldPosition="3"/>
    </format>
    <format dxfId="1317">
      <pivotArea field="69" type="button" dataOnly="0" labelOnly="1" outline="0"/>
    </format>
    <format dxfId="1316">
      <pivotArea field="16" type="button" dataOnly="0" labelOnly="1" outline="0" axis="axisRow" fieldPosition="4"/>
    </format>
    <format dxfId="1315">
      <pivotArea dataOnly="0" labelOnly="1" grandRow="1" outline="0" fieldPosition="0"/>
    </format>
    <format dxfId="1314">
      <pivotArea type="topRight" dataOnly="0" labelOnly="1" outline="0" fieldPosition="0"/>
    </format>
    <format dxfId="1313">
      <pivotArea type="all" dataOnly="0" outline="0" fieldPosition="0"/>
    </format>
    <format dxfId="1312">
      <pivotArea outline="0" collapsedLevelsAreSubtotals="1" fieldPosition="0"/>
    </format>
    <format dxfId="1311">
      <pivotArea type="origin" dataOnly="0" labelOnly="1" outline="0" fieldPosition="0"/>
    </format>
    <format dxfId="1310">
      <pivotArea field="2" type="button" dataOnly="0" labelOnly="1" outline="0"/>
    </format>
    <format dxfId="1309">
      <pivotArea field="9" type="button" dataOnly="0" labelOnly="1" outline="0" axis="axisRow" fieldPosition="0"/>
    </format>
    <format dxfId="1308">
      <pivotArea field="10" type="button" dataOnly="0" labelOnly="1" outline="0" axis="axisRow" fieldPosition="1"/>
    </format>
    <format dxfId="1307">
      <pivotArea field="18" type="button" dataOnly="0" labelOnly="1" outline="0" axis="axisRow" fieldPosition="2"/>
    </format>
    <format dxfId="1306">
      <pivotArea field="14" type="button" dataOnly="0" labelOnly="1" outline="0" axis="axisRow" fieldPosition="3"/>
    </format>
    <format dxfId="1305">
      <pivotArea field="69" type="button" dataOnly="0" labelOnly="1" outline="0"/>
    </format>
    <format dxfId="1304">
      <pivotArea field="16" type="button" dataOnly="0" labelOnly="1" outline="0" axis="axisRow" fieldPosition="4"/>
    </format>
    <format dxfId="1303">
      <pivotArea dataOnly="0" labelOnly="1" grandRow="1" outline="0" fieldPosition="0"/>
    </format>
    <format dxfId="1302">
      <pivotArea type="topRight" dataOnly="0" labelOnly="1" outline="0" fieldPosition="0"/>
    </format>
    <format dxfId="1301">
      <pivotArea field="18" type="button" dataOnly="0" labelOnly="1" outline="0" axis="axisRow" fieldPosition="2"/>
    </format>
    <format dxfId="1300">
      <pivotArea type="origin" dataOnly="0" labelOnly="1" outline="0" fieldPosition="0"/>
    </format>
    <format dxfId="1299">
      <pivotArea dataOnly="0" labelOnly="1" outline="0" fieldPosition="0">
        <references count="1">
          <reference field="18" count="0"/>
        </references>
      </pivotArea>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Descontinuado" cacheId="0" applyNumberFormats="0" applyBorderFormats="0" applyFontFormats="0" applyPatternFormats="0" applyAlignmentFormats="0" applyWidthHeightFormats="1" dataCaption="Valores" updatedVersion="6" minRefreshableVersion="3" itemPrintTitles="1" createdVersion="7" indent="0" compact="0" compactData="0" gridDropZones="1" multipleFieldFilters="0">
  <location ref="B5:G8" firstHeaderRow="2" firstDataRow="2" firstDataCol="5" rowPageCount="1" colPageCount="1"/>
  <pivotFields count="72">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4">
        <item m="1" x="3"/>
        <item m="1" x="2"/>
        <item m="1" x="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7">
        <item m="1" x="3"/>
        <item m="1" x="4"/>
        <item m="1" x="1"/>
        <item m="1" x="2"/>
        <item m="1" x="6"/>
        <item m="1" x="5"/>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name="Pedido" axis="axisRow" compact="0" outline="0" subtotalTop="0" showAll="0" defaultSubtotal="0">
      <items count="85">
        <item m="1" x="41"/>
        <item m="1" x="5"/>
        <item m="1" x="57"/>
        <item m="1" x="20"/>
        <item m="1" x="30"/>
        <item m="1" x="31"/>
        <item m="1" x="17"/>
        <item m="1" x="54"/>
        <item m="1" x="80"/>
        <item m="1" x="65"/>
        <item m="1" x="3"/>
        <item m="1" x="56"/>
        <item m="1" x="9"/>
        <item m="1" x="77"/>
        <item m="1" x="73"/>
        <item m="1" x="76"/>
        <item m="1" x="10"/>
        <item m="1" x="67"/>
        <item m="1" x="6"/>
        <item m="1" x="49"/>
        <item m="1" x="44"/>
        <item m="1" x="35"/>
        <item m="1" x="4"/>
        <item m="1" x="68"/>
        <item m="1" x="22"/>
        <item m="1" x="52"/>
        <item m="1" x="21"/>
        <item m="1" x="47"/>
        <item m="1" x="8"/>
        <item m="1" x="43"/>
        <item m="1" x="84"/>
        <item m="1" x="82"/>
        <item m="1" x="53"/>
        <item m="1" x="38"/>
        <item m="1" x="46"/>
        <item m="1" x="59"/>
        <item m="1" x="2"/>
        <item m="1" x="58"/>
        <item m="1" x="83"/>
        <item m="1" x="45"/>
        <item m="1" x="62"/>
        <item m="1" x="34"/>
        <item m="1" x="29"/>
        <item m="1" x="15"/>
        <item m="1" x="19"/>
        <item m="1" x="33"/>
        <item m="1" x="40"/>
        <item m="1" x="37"/>
        <item m="1" x="39"/>
        <item m="1" x="69"/>
        <item m="1" x="32"/>
        <item m="1" x="26"/>
        <item m="1" x="11"/>
        <item m="1" x="7"/>
        <item m="1" x="16"/>
        <item m="1" x="64"/>
        <item m="1" x="74"/>
        <item m="1" x="63"/>
        <item m="1" x="28"/>
        <item m="1" x="75"/>
        <item m="1" x="27"/>
        <item m="1" x="13"/>
        <item m="1" x="48"/>
        <item m="1" x="66"/>
        <item m="1" x="14"/>
        <item m="1" x="70"/>
        <item m="1" x="25"/>
        <item m="1" x="79"/>
        <item m="1" x="72"/>
        <item m="1" x="24"/>
        <item m="1" x="60"/>
        <item m="1" x="12"/>
        <item m="1" x="71"/>
        <item m="1" x="18"/>
        <item m="1" x="55"/>
        <item m="1" x="51"/>
        <item m="1" x="1"/>
        <item m="1" x="81"/>
        <item m="1" x="78"/>
        <item m="1" x="36"/>
        <item m="1" x="50"/>
        <item m="1" x="61"/>
        <item m="1" x="23"/>
        <item m="1" x="42"/>
        <item x="0"/>
      </items>
      <extLst>
        <ext xmlns:x14="http://schemas.microsoft.com/office/spreadsheetml/2009/9/main" uri="{2946ED86-A175-432a-8AC1-64E0C546D7DE}">
          <x14:pivotField fillDownLabels="1"/>
        </ext>
      </extLst>
    </pivotField>
    <pivotField name="Orden de Compra" axis="axisRow" compact="0" outline="0" subtotalTop="0" showAll="0" defaultSubtotal="0">
      <items count="83">
        <item m="1" x="11"/>
        <item m="1" x="35"/>
        <item m="1" x="49"/>
        <item m="1" x="71"/>
        <item m="1" x="64"/>
        <item m="1" x="81"/>
        <item m="1" x="20"/>
        <item m="1" x="2"/>
        <item m="1" x="15"/>
        <item m="1" x="25"/>
        <item m="1" x="26"/>
        <item m="1" x="27"/>
        <item m="1" x="28"/>
        <item m="1" x="66"/>
        <item m="1" x="67"/>
        <item m="1" x="68"/>
        <item m="1" x="69"/>
        <item m="1" x="34"/>
        <item m="1" x="36"/>
        <item m="1" x="38"/>
        <item m="1" x="39"/>
        <item m="1" x="7"/>
        <item m="1" x="10"/>
        <item m="1" x="52"/>
        <item m="1" x="54"/>
        <item m="1" x="73"/>
        <item m="1" x="76"/>
        <item m="1" x="77"/>
        <item m="1" x="80"/>
        <item m="1" x="12"/>
        <item m="1" x="55"/>
        <item m="1" x="56"/>
        <item m="1" x="57"/>
        <item m="1" x="44"/>
        <item m="1" x="46"/>
        <item m="1" x="16"/>
        <item m="1" x="17"/>
        <item m="1" x="45"/>
        <item m="1" x="48"/>
        <item m="1" x="50"/>
        <item m="1" x="51"/>
        <item m="1" x="13"/>
        <item m="1" x="14"/>
        <item m="1" x="59"/>
        <item m="1" x="61"/>
        <item m="1" x="1"/>
        <item m="1" x="3"/>
        <item m="1" x="4"/>
        <item m="1" x="47"/>
        <item m="1" x="22"/>
        <item m="1" x="23"/>
        <item m="1" x="72"/>
        <item m="1" x="74"/>
        <item m="1" x="78"/>
        <item m="1" x="37"/>
        <item m="1" x="58"/>
        <item m="1" x="60"/>
        <item m="1" x="8"/>
        <item m="1" x="9"/>
        <item m="1" x="30"/>
        <item m="1" x="82"/>
        <item m="1" x="75"/>
        <item m="1" x="41"/>
        <item m="1" x="62"/>
        <item m="1" x="31"/>
        <item m="1" x="79"/>
        <item m="1" x="18"/>
        <item m="1" x="29"/>
        <item m="1" x="32"/>
        <item m="1" x="5"/>
        <item m="1" x="19"/>
        <item m="1" x="33"/>
        <item m="1" x="24"/>
        <item m="1" x="65"/>
        <item m="1" x="63"/>
        <item m="1" x="43"/>
        <item m="1" x="42"/>
        <item m="1" x="40"/>
        <item m="1" x="53"/>
        <item m="1" x="6"/>
        <item m="1" x="70"/>
        <item m="1" x="2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61">
        <item m="1" x="10"/>
        <item m="1" x="60"/>
        <item m="1" x="32"/>
        <item m="1" x="44"/>
        <item m="1" x="59"/>
        <item m="1" x="4"/>
        <item m="1" x="3"/>
        <item m="1" x="26"/>
        <item m="1" x="16"/>
        <item m="1" x="24"/>
        <item m="1" x="55"/>
        <item m="1" x="37"/>
        <item m="1" x="7"/>
        <item m="1" x="42"/>
        <item m="1" x="45"/>
        <item m="1" x="41"/>
        <item m="1" x="31"/>
        <item m="1" x="40"/>
        <item m="1" x="25"/>
        <item m="1" x="30"/>
        <item m="1" x="39"/>
        <item m="1" x="22"/>
        <item m="1" x="5"/>
        <item m="1" x="46"/>
        <item m="1" x="19"/>
        <item m="1" x="47"/>
        <item m="1" x="54"/>
        <item m="1" x="48"/>
        <item m="1" x="13"/>
        <item m="1" x="12"/>
        <item m="1" x="27"/>
        <item m="1" x="14"/>
        <item m="1" x="52"/>
        <item m="1" x="29"/>
        <item m="1" x="6"/>
        <item m="1" x="23"/>
        <item m="1" x="49"/>
        <item m="1" x="11"/>
        <item m="1" x="15"/>
        <item m="1" x="53"/>
        <item m="1" x="58"/>
        <item m="1" x="57"/>
        <item m="1" x="36"/>
        <item m="1" x="33"/>
        <item m="1" x="51"/>
        <item m="1" x="50"/>
        <item m="1" x="9"/>
        <item m="1" x="17"/>
        <item m="1" x="18"/>
        <item m="1" x="43"/>
        <item m="1" x="20"/>
        <item m="1" x="2"/>
        <item m="1" x="38"/>
        <item m="1" x="28"/>
        <item m="1" x="35"/>
        <item m="1" x="34"/>
        <item m="1" x="8"/>
        <item m="1" x="56"/>
        <item m="1" x="21"/>
        <item m="1" x="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61">
        <item m="1" x="12"/>
        <item m="1" x="26"/>
        <item m="1" x="37"/>
        <item m="1" x="48"/>
        <item m="1" x="50"/>
        <item m="1" x="59"/>
        <item m="1" x="60"/>
        <item m="1" x="28"/>
        <item m="1" x="19"/>
        <item m="1" x="51"/>
        <item m="1" x="53"/>
        <item m="1" x="56"/>
        <item m="1" x="36"/>
        <item m="1" x="40"/>
        <item m="1" x="57"/>
        <item m="1" x="23"/>
        <item m="1" x="8"/>
        <item m="1" x="13"/>
        <item m="1" x="24"/>
        <item m="1" x="20"/>
        <item m="1" x="54"/>
        <item m="1" x="55"/>
        <item m="1" x="52"/>
        <item m="1" x="41"/>
        <item m="1" x="18"/>
        <item m="1" x="1"/>
        <item m="1" x="16"/>
        <item m="1" x="46"/>
        <item m="1" x="29"/>
        <item m="1" x="9"/>
        <item m="1" x="25"/>
        <item m="1" x="6"/>
        <item m="1" x="30"/>
        <item m="1" x="5"/>
        <item m="1" x="49"/>
        <item m="1" x="45"/>
        <item m="1" x="42"/>
        <item m="1" x="21"/>
        <item m="1" x="43"/>
        <item m="1" x="17"/>
        <item m="1" x="4"/>
        <item m="1" x="35"/>
        <item m="1" x="2"/>
        <item m="1" x="22"/>
        <item m="1" x="39"/>
        <item m="1" x="10"/>
        <item m="1" x="11"/>
        <item m="1" x="44"/>
        <item m="1" x="32"/>
        <item m="1" x="33"/>
        <item m="1" x="34"/>
        <item m="1" x="15"/>
        <item m="1" x="31"/>
        <item m="1" x="7"/>
        <item m="1" x="27"/>
        <item m="1" x="47"/>
        <item m="1" x="38"/>
        <item m="1" x="58"/>
        <item m="1" x="3"/>
        <item m="1" x="14"/>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name="EAN" axis="axisRow" compact="0" outline="0" subtotalTop="0" showAll="0" defaultSubtotal="0">
      <items count="34">
        <item m="1" x="5"/>
        <item m="1" x="1"/>
        <item m="1" x="7"/>
        <item m="1" x="32"/>
        <item m="1" x="30"/>
        <item m="1" x="13"/>
        <item m="1" x="23"/>
        <item m="1" x="18"/>
        <item m="1" x="31"/>
        <item m="1" x="14"/>
        <item m="1" x="4"/>
        <item m="1" x="26"/>
        <item m="1" x="15"/>
        <item m="1" x="33"/>
        <item m="1" x="10"/>
        <item m="1" x="12"/>
        <item m="1" x="16"/>
        <item m="1" x="19"/>
        <item m="1" x="17"/>
        <item m="1" x="24"/>
        <item m="1" x="25"/>
        <item m="1" x="22"/>
        <item m="1" x="11"/>
        <item m="1" x="8"/>
        <item m="1" x="2"/>
        <item m="1" x="28"/>
        <item m="1" x="20"/>
        <item m="1" x="3"/>
        <item m="1" x="9"/>
        <item m="1" x="29"/>
        <item m="1" x="21"/>
        <item m="1" x="27"/>
        <item m="1" x="6"/>
        <item x="0"/>
      </items>
      <extLst>
        <ext xmlns:x14="http://schemas.microsoft.com/office/spreadsheetml/2009/9/main" uri="{2946ED86-A175-432a-8AC1-64E0C546D7DE}">
          <x14:pivotField fillDownLabels="1"/>
        </ext>
      </extLst>
    </pivotField>
    <pivotField compact="0" numFmtId="14" outline="0" subtotalTop="0" showAll="0" defaultSubtotal="0">
      <items count="35">
        <item m="1" x="34"/>
        <item m="1" x="23"/>
        <item m="1" x="21"/>
        <item m="1" x="8"/>
        <item m="1" x="30"/>
        <item m="1" x="12"/>
        <item m="1" x="6"/>
        <item m="1" x="28"/>
        <item m="1" x="11"/>
        <item m="1" x="26"/>
        <item m="1" x="4"/>
        <item m="1" x="19"/>
        <item m="1" x="33"/>
        <item m="1" x="9"/>
        <item m="1" x="25"/>
        <item m="1" x="1"/>
        <item m="1" x="17"/>
        <item m="1" x="32"/>
        <item m="1" x="3"/>
        <item m="1" x="18"/>
        <item m="1" x="13"/>
        <item m="1" x="27"/>
        <item m="1" x="14"/>
        <item m="1" x="20"/>
        <item m="1" x="10"/>
        <item m="1" x="16"/>
        <item m="1" x="5"/>
        <item m="1" x="15"/>
        <item m="1" x="31"/>
        <item m="1" x="7"/>
        <item m="1" x="24"/>
        <item m="1" x="29"/>
        <item m="1" x="22"/>
        <item m="1" x="2"/>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Page" compact="0" outline="0" subtotalTop="0" showAll="0" defaultSubtotal="0">
      <items count="8">
        <item m="1" x="2"/>
        <item m="1" x="1"/>
        <item m="1" x="3"/>
        <item m="1" x="7"/>
        <item m="1" x="4"/>
        <item m="1" x="6"/>
        <item m="1" x="5"/>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items count="84">
        <item m="1" x="49"/>
        <item m="1" x="45"/>
        <item m="1" x="21"/>
        <item m="1" x="72"/>
        <item m="1" x="43"/>
        <item m="1" x="26"/>
        <item m="1" x="38"/>
        <item m="1" x="16"/>
        <item m="1" x="52"/>
        <item m="1" x="42"/>
        <item m="1" x="58"/>
        <item m="1" x="30"/>
        <item m="1" x="44"/>
        <item m="1" x="47"/>
        <item m="1" x="41"/>
        <item m="1" x="31"/>
        <item m="1" x="40"/>
        <item m="1" x="32"/>
        <item m="1" x="7"/>
        <item m="1" x="69"/>
        <item m="1" x="65"/>
        <item m="1" x="13"/>
        <item m="1" x="25"/>
        <item m="1" x="15"/>
        <item m="1" x="74"/>
        <item m="1" x="51"/>
        <item m="1" x="33"/>
        <item m="1" x="60"/>
        <item m="1" x="54"/>
        <item m="1" x="27"/>
        <item m="1" x="9"/>
        <item m="1" x="83"/>
        <item m="1" x="8"/>
        <item m="1" x="39"/>
        <item m="1" x="3"/>
        <item m="1" x="18"/>
        <item m="1" x="17"/>
        <item m="1" x="81"/>
        <item m="1" x="20"/>
        <item m="1" x="6"/>
        <item m="1" x="5"/>
        <item m="1" x="66"/>
        <item m="1" x="14"/>
        <item m="1" x="71"/>
        <item m="1" x="80"/>
        <item m="1" x="68"/>
        <item m="1" x="63"/>
        <item m="1" x="82"/>
        <item m="1" x="48"/>
        <item m="1" x="46"/>
        <item m="1" x="2"/>
        <item m="1" x="23"/>
        <item m="1" x="22"/>
        <item m="1" x="35"/>
        <item m="1" x="78"/>
        <item m="1" x="37"/>
        <item m="1" x="55"/>
        <item m="1" x="11"/>
        <item m="1" x="70"/>
        <item m="1" x="73"/>
        <item m="1" x="1"/>
        <item m="1" x="12"/>
        <item m="1" x="4"/>
        <item m="1" x="50"/>
        <item m="1" x="79"/>
        <item m="1" x="34"/>
        <item m="1" x="62"/>
        <item m="1" x="76"/>
        <item m="1" x="28"/>
        <item m="1" x="59"/>
        <item m="1" x="10"/>
        <item m="1" x="36"/>
        <item m="1" x="53"/>
        <item m="1" x="24"/>
        <item m="1" x="64"/>
        <item m="1" x="57"/>
        <item m="1" x="77"/>
        <item m="1" x="19"/>
        <item m="1" x="75"/>
        <item m="1" x="61"/>
        <item m="1" x="29"/>
        <item m="1" x="56"/>
        <item m="1" x="67"/>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numFmtId="1" outline="0" subtotalTop="0" showAll="0" defaultSubtotal="0">
      <extLst>
        <ext xmlns:x14="http://schemas.microsoft.com/office/spreadsheetml/2009/9/main" uri="{2946ED86-A175-432a-8AC1-64E0C546D7DE}">
          <x14:pivotField fillDownLabels="1"/>
        </ext>
      </extLst>
    </pivotField>
  </pivotFields>
  <rowFields count="5">
    <field x="9"/>
    <field x="10"/>
    <field x="18"/>
    <field x="14"/>
    <field x="16"/>
  </rowFields>
  <rowItems count="2">
    <i>
      <x v="84"/>
      <x v="82"/>
      <x v="33"/>
      <x v="60"/>
      <x v="60"/>
    </i>
    <i t="grand">
      <x/>
    </i>
  </rowItems>
  <colItems count="1">
    <i/>
  </colItems>
  <pageFields count="1">
    <pageField fld="67" item="7" hier="-1"/>
  </pageFields>
  <dataFields count="1">
    <dataField name="Sum of Sin Despacho" fld="71" baseField="0" baseItem="0"/>
  </dataFields>
  <formats count="562">
    <format dxfId="1298">
      <pivotArea outline="0" collapsedLevelsAreSubtotals="1" fieldPosition="0"/>
    </format>
    <format dxfId="1297">
      <pivotArea field="67" type="button" dataOnly="0" labelOnly="1" outline="0" axis="axisPage" fieldPosition="0"/>
    </format>
    <format dxfId="1296">
      <pivotArea type="origin" dataOnly="0" labelOnly="1" outline="0" fieldPosition="0"/>
    </format>
    <format dxfId="1295">
      <pivotArea type="all" dataOnly="0" outline="0" fieldPosition="0"/>
    </format>
    <format dxfId="1294">
      <pivotArea type="origin" dataOnly="0" labelOnly="1" outline="0" fieldPosition="0"/>
    </format>
    <format dxfId="1293">
      <pivotArea field="9" type="button" dataOnly="0" labelOnly="1" outline="0" axis="axisRow" fieldPosition="0"/>
    </format>
    <format dxfId="1292">
      <pivotArea field="10" type="button" dataOnly="0" labelOnly="1" outline="0" axis="axisRow" fieldPosition="1"/>
    </format>
    <format dxfId="1291">
      <pivotArea field="18" type="button" dataOnly="0" labelOnly="1" outline="0" axis="axisRow" fieldPosition="2"/>
    </format>
    <format dxfId="1290">
      <pivotArea field="14" type="button" dataOnly="0" labelOnly="1" outline="0" axis="axisRow" fieldPosition="3"/>
    </format>
    <format dxfId="1289">
      <pivotArea field="69" type="button" dataOnly="0" labelOnly="1" outline="0"/>
    </format>
    <format dxfId="1288">
      <pivotArea field="16" type="button" dataOnly="0" labelOnly="1" outline="0" axis="axisRow" fieldPosition="4"/>
    </format>
    <format dxfId="1287">
      <pivotArea dataOnly="0" labelOnly="1" outline="0" fieldPosition="0">
        <references count="1">
          <reference field="9"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286">
      <pivotArea dataOnly="0" labelOnly="1" outline="0" fieldPosition="0">
        <references count="1">
          <reference field="9" count="13">
            <x v="50"/>
            <x v="51"/>
            <x v="52"/>
            <x v="53"/>
            <x v="54"/>
            <x v="55"/>
            <x v="56"/>
            <x v="57"/>
            <x v="58"/>
            <x v="59"/>
            <x v="60"/>
            <x v="61"/>
            <x v="62"/>
          </reference>
        </references>
      </pivotArea>
    </format>
    <format dxfId="1285">
      <pivotArea dataOnly="0" labelOnly="1" grandRow="1" outline="0" fieldPosition="0"/>
    </format>
    <format dxfId="1284">
      <pivotArea dataOnly="0" labelOnly="1" outline="0" fieldPosition="0">
        <references count="2">
          <reference field="9" count="1" selected="0">
            <x v="0"/>
          </reference>
          <reference field="10" count="1">
            <x v="58"/>
          </reference>
        </references>
      </pivotArea>
    </format>
    <format dxfId="1283">
      <pivotArea dataOnly="0" labelOnly="1" outline="0" fieldPosition="0">
        <references count="2">
          <reference field="9" count="1" selected="0">
            <x v="1"/>
          </reference>
          <reference field="10" count="1">
            <x v="57"/>
          </reference>
        </references>
      </pivotArea>
    </format>
    <format dxfId="1282">
      <pivotArea dataOnly="0" labelOnly="1" outline="0" fieldPosition="0">
        <references count="2">
          <reference field="9" count="1" selected="0">
            <x v="2"/>
          </reference>
          <reference field="10" count="1">
            <x v="56"/>
          </reference>
        </references>
      </pivotArea>
    </format>
    <format dxfId="1281">
      <pivotArea dataOnly="0" labelOnly="1" outline="0" fieldPosition="0">
        <references count="2">
          <reference field="9" count="1" selected="0">
            <x v="3"/>
          </reference>
          <reference field="10" count="1">
            <x v="55"/>
          </reference>
        </references>
      </pivotArea>
    </format>
    <format dxfId="1280">
      <pivotArea dataOnly="0" labelOnly="1" outline="0" fieldPosition="0">
        <references count="2">
          <reference field="9" count="1" selected="0">
            <x v="4"/>
          </reference>
          <reference field="10" count="1">
            <x v="54"/>
          </reference>
        </references>
      </pivotArea>
    </format>
    <format dxfId="1279">
      <pivotArea dataOnly="0" labelOnly="1" outline="0" fieldPosition="0">
        <references count="2">
          <reference field="9" count="1" selected="0">
            <x v="5"/>
          </reference>
          <reference field="10" count="1">
            <x v="59"/>
          </reference>
        </references>
      </pivotArea>
    </format>
    <format dxfId="1278">
      <pivotArea dataOnly="0" labelOnly="1" outline="0" fieldPosition="0">
        <references count="2">
          <reference field="9" count="1" selected="0">
            <x v="6"/>
          </reference>
          <reference field="10" count="1">
            <x v="53"/>
          </reference>
        </references>
      </pivotArea>
    </format>
    <format dxfId="1277">
      <pivotArea dataOnly="0" labelOnly="1" outline="0" fieldPosition="0">
        <references count="2">
          <reference field="9" count="1" selected="0">
            <x v="7"/>
          </reference>
          <reference field="10" count="1">
            <x v="60"/>
          </reference>
        </references>
      </pivotArea>
    </format>
    <format dxfId="1276">
      <pivotArea dataOnly="0" labelOnly="1" outline="0" fieldPosition="0">
        <references count="2">
          <reference field="9" count="1" selected="0">
            <x v="8"/>
          </reference>
          <reference field="10" count="1">
            <x v="61"/>
          </reference>
        </references>
      </pivotArea>
    </format>
    <format dxfId="1275">
      <pivotArea dataOnly="0" labelOnly="1" outline="0" fieldPosition="0">
        <references count="2">
          <reference field="9" count="1" selected="0">
            <x v="9"/>
          </reference>
          <reference field="10" count="1">
            <x v="62"/>
          </reference>
        </references>
      </pivotArea>
    </format>
    <format dxfId="1274">
      <pivotArea dataOnly="0" labelOnly="1" outline="0" fieldPosition="0">
        <references count="2">
          <reference field="9" count="1" selected="0">
            <x v="10"/>
          </reference>
          <reference field="10" count="1">
            <x v="10"/>
          </reference>
        </references>
      </pivotArea>
    </format>
    <format dxfId="1273">
      <pivotArea dataOnly="0" labelOnly="1" outline="0" fieldPosition="0">
        <references count="2">
          <reference field="9" count="1" selected="0">
            <x v="11"/>
          </reference>
          <reference field="10" count="1">
            <x v="14"/>
          </reference>
        </references>
      </pivotArea>
    </format>
    <format dxfId="1272">
      <pivotArea dataOnly="0" labelOnly="1" outline="0" fieldPosition="0">
        <references count="2">
          <reference field="9" count="1" selected="0">
            <x v="12"/>
          </reference>
          <reference field="10" count="1">
            <x v="18"/>
          </reference>
        </references>
      </pivotArea>
    </format>
    <format dxfId="1271">
      <pivotArea dataOnly="0" labelOnly="1" outline="0" fieldPosition="0">
        <references count="2">
          <reference field="9" count="1" selected="0">
            <x v="13"/>
          </reference>
          <reference field="10" count="1">
            <x v="22"/>
          </reference>
        </references>
      </pivotArea>
    </format>
    <format dxfId="1270">
      <pivotArea dataOnly="0" labelOnly="1" outline="0" fieldPosition="0">
        <references count="2">
          <reference field="9" count="1" selected="0">
            <x v="14"/>
          </reference>
          <reference field="10" count="1">
            <x v="26"/>
          </reference>
        </references>
      </pivotArea>
    </format>
    <format dxfId="1269">
      <pivotArea dataOnly="0" labelOnly="1" outline="0" fieldPosition="0">
        <references count="2">
          <reference field="9" count="1" selected="0">
            <x v="15"/>
          </reference>
          <reference field="10" count="1">
            <x v="30"/>
          </reference>
        </references>
      </pivotArea>
    </format>
    <format dxfId="1268">
      <pivotArea dataOnly="0" labelOnly="1" outline="0" fieldPosition="0">
        <references count="2">
          <reference field="9" count="1" selected="0">
            <x v="16"/>
          </reference>
          <reference field="10" count="1">
            <x v="34"/>
          </reference>
        </references>
      </pivotArea>
    </format>
    <format dxfId="1267">
      <pivotArea dataOnly="0" labelOnly="1" outline="0" fieldPosition="0">
        <references count="2">
          <reference field="9" count="1" selected="0">
            <x v="17"/>
          </reference>
          <reference field="10" count="1">
            <x v="38"/>
          </reference>
        </references>
      </pivotArea>
    </format>
    <format dxfId="1266">
      <pivotArea dataOnly="0" labelOnly="1" outline="0" fieldPosition="0">
        <references count="2">
          <reference field="9" count="1" selected="0">
            <x v="18"/>
          </reference>
          <reference field="10" count="1">
            <x v="42"/>
          </reference>
        </references>
      </pivotArea>
    </format>
    <format dxfId="1265">
      <pivotArea dataOnly="0" labelOnly="1" outline="0" fieldPosition="0">
        <references count="2">
          <reference field="9" count="1" selected="0">
            <x v="19"/>
          </reference>
          <reference field="10" count="1">
            <x v="46"/>
          </reference>
        </references>
      </pivotArea>
    </format>
    <format dxfId="1264">
      <pivotArea dataOnly="0" labelOnly="1" outline="0" fieldPosition="0">
        <references count="2">
          <reference field="9" count="1" selected="0">
            <x v="20"/>
          </reference>
          <reference field="10" count="1">
            <x v="50"/>
          </reference>
        </references>
      </pivotArea>
    </format>
    <format dxfId="1263">
      <pivotArea dataOnly="0" labelOnly="1" outline="0" fieldPosition="0">
        <references count="2">
          <reference field="9" count="1" selected="0">
            <x v="21"/>
          </reference>
          <reference field="10" count="1">
            <x v="11"/>
          </reference>
        </references>
      </pivotArea>
    </format>
    <format dxfId="1262">
      <pivotArea dataOnly="0" labelOnly="1" outline="0" fieldPosition="0">
        <references count="2">
          <reference field="9" count="1" selected="0">
            <x v="22"/>
          </reference>
          <reference field="10" count="1">
            <x v="15"/>
          </reference>
        </references>
      </pivotArea>
    </format>
    <format dxfId="1261">
      <pivotArea dataOnly="0" labelOnly="1" outline="0" fieldPosition="0">
        <references count="2">
          <reference field="9" count="1" selected="0">
            <x v="23"/>
          </reference>
          <reference field="10" count="1">
            <x v="19"/>
          </reference>
        </references>
      </pivotArea>
    </format>
    <format dxfId="1260">
      <pivotArea dataOnly="0" labelOnly="1" outline="0" fieldPosition="0">
        <references count="2">
          <reference field="9" count="1" selected="0">
            <x v="24"/>
          </reference>
          <reference field="10" count="1">
            <x v="23"/>
          </reference>
        </references>
      </pivotArea>
    </format>
    <format dxfId="1259">
      <pivotArea dataOnly="0" labelOnly="1" outline="0" fieldPosition="0">
        <references count="2">
          <reference field="9" count="1" selected="0">
            <x v="25"/>
          </reference>
          <reference field="10" count="1">
            <x v="27"/>
          </reference>
        </references>
      </pivotArea>
    </format>
    <format dxfId="1258">
      <pivotArea dataOnly="0" labelOnly="1" outline="0" fieldPosition="0">
        <references count="2">
          <reference field="9" count="1" selected="0">
            <x v="26"/>
          </reference>
          <reference field="10" count="1">
            <x v="31"/>
          </reference>
        </references>
      </pivotArea>
    </format>
    <format dxfId="1257">
      <pivotArea dataOnly="0" labelOnly="1" outline="0" fieldPosition="0">
        <references count="2">
          <reference field="9" count="1" selected="0">
            <x v="27"/>
          </reference>
          <reference field="10" count="1">
            <x v="35"/>
          </reference>
        </references>
      </pivotArea>
    </format>
    <format dxfId="1256">
      <pivotArea dataOnly="0" labelOnly="1" outline="0" fieldPosition="0">
        <references count="2">
          <reference field="9" count="1" selected="0">
            <x v="28"/>
          </reference>
          <reference field="10" count="1">
            <x v="39"/>
          </reference>
        </references>
      </pivotArea>
    </format>
    <format dxfId="1255">
      <pivotArea dataOnly="0" labelOnly="1" outline="0" fieldPosition="0">
        <references count="2">
          <reference field="9" count="1" selected="0">
            <x v="29"/>
          </reference>
          <reference field="10" count="1">
            <x v="43"/>
          </reference>
        </references>
      </pivotArea>
    </format>
    <format dxfId="1254">
      <pivotArea dataOnly="0" labelOnly="1" outline="0" fieldPosition="0">
        <references count="2">
          <reference field="9" count="1" selected="0">
            <x v="30"/>
          </reference>
          <reference field="10" count="1">
            <x v="47"/>
          </reference>
        </references>
      </pivotArea>
    </format>
    <format dxfId="1253">
      <pivotArea dataOnly="0" labelOnly="1" outline="0" fieldPosition="0">
        <references count="2">
          <reference field="9" count="1" selected="0">
            <x v="31"/>
          </reference>
          <reference field="10" count="1">
            <x v="51"/>
          </reference>
        </references>
      </pivotArea>
    </format>
    <format dxfId="1252">
      <pivotArea dataOnly="0" labelOnly="1" outline="0" fieldPosition="0">
        <references count="2">
          <reference field="9" count="1" selected="0">
            <x v="32"/>
          </reference>
          <reference field="10" count="1">
            <x v="12"/>
          </reference>
        </references>
      </pivotArea>
    </format>
    <format dxfId="1251">
      <pivotArea dataOnly="0" labelOnly="1" outline="0" fieldPosition="0">
        <references count="2">
          <reference field="9" count="1" selected="0">
            <x v="33"/>
          </reference>
          <reference field="10" count="1">
            <x v="16"/>
          </reference>
        </references>
      </pivotArea>
    </format>
    <format dxfId="1250">
      <pivotArea dataOnly="0" labelOnly="1" outline="0" fieldPosition="0">
        <references count="2">
          <reference field="9" count="1" selected="0">
            <x v="34"/>
          </reference>
          <reference field="10" count="1">
            <x v="20"/>
          </reference>
        </references>
      </pivotArea>
    </format>
    <format dxfId="1249">
      <pivotArea dataOnly="0" labelOnly="1" outline="0" fieldPosition="0">
        <references count="2">
          <reference field="9" count="1" selected="0">
            <x v="35"/>
          </reference>
          <reference field="10" count="1">
            <x v="24"/>
          </reference>
        </references>
      </pivotArea>
    </format>
    <format dxfId="1248">
      <pivotArea dataOnly="0" labelOnly="1" outline="0" fieldPosition="0">
        <references count="2">
          <reference field="9" count="1" selected="0">
            <x v="36"/>
          </reference>
          <reference field="10" count="1">
            <x v="28"/>
          </reference>
        </references>
      </pivotArea>
    </format>
    <format dxfId="1247">
      <pivotArea dataOnly="0" labelOnly="1" outline="0" fieldPosition="0">
        <references count="2">
          <reference field="9" count="1" selected="0">
            <x v="37"/>
          </reference>
          <reference field="10" count="1">
            <x v="32"/>
          </reference>
        </references>
      </pivotArea>
    </format>
    <format dxfId="1246">
      <pivotArea dataOnly="0" labelOnly="1" outline="0" fieldPosition="0">
        <references count="2">
          <reference field="9" count="1" selected="0">
            <x v="38"/>
          </reference>
          <reference field="10" count="1">
            <x v="36"/>
          </reference>
        </references>
      </pivotArea>
    </format>
    <format dxfId="1245">
      <pivotArea dataOnly="0" labelOnly="1" outline="0" fieldPosition="0">
        <references count="2">
          <reference field="9" count="1" selected="0">
            <x v="39"/>
          </reference>
          <reference field="10" count="1">
            <x v="40"/>
          </reference>
        </references>
      </pivotArea>
    </format>
    <format dxfId="1244">
      <pivotArea dataOnly="0" labelOnly="1" outline="0" fieldPosition="0">
        <references count="2">
          <reference field="9" count="1" selected="0">
            <x v="40"/>
          </reference>
          <reference field="10" count="1">
            <x v="44"/>
          </reference>
        </references>
      </pivotArea>
    </format>
    <format dxfId="1243">
      <pivotArea dataOnly="0" labelOnly="1" outline="0" fieldPosition="0">
        <references count="2">
          <reference field="9" count="1" selected="0">
            <x v="41"/>
          </reference>
          <reference field="10" count="1">
            <x v="48"/>
          </reference>
        </references>
      </pivotArea>
    </format>
    <format dxfId="1242">
      <pivotArea dataOnly="0" labelOnly="1" outline="0" fieldPosition="0">
        <references count="2">
          <reference field="9" count="1" selected="0">
            <x v="42"/>
          </reference>
          <reference field="10" count="1">
            <x v="52"/>
          </reference>
        </references>
      </pivotArea>
    </format>
    <format dxfId="1241">
      <pivotArea dataOnly="0" labelOnly="1" outline="0" fieldPosition="0">
        <references count="2">
          <reference field="9" count="1" selected="0">
            <x v="43"/>
          </reference>
          <reference field="10" count="1">
            <x v="9"/>
          </reference>
        </references>
      </pivotArea>
    </format>
    <format dxfId="1240">
      <pivotArea dataOnly="0" labelOnly="1" outline="0" fieldPosition="0">
        <references count="2">
          <reference field="9" count="1" selected="0">
            <x v="44"/>
          </reference>
          <reference field="10" count="1">
            <x v="13"/>
          </reference>
        </references>
      </pivotArea>
    </format>
    <format dxfId="1239">
      <pivotArea dataOnly="0" labelOnly="1" outline="0" fieldPosition="0">
        <references count="2">
          <reference field="9" count="1" selected="0">
            <x v="45"/>
          </reference>
          <reference field="10" count="1">
            <x v="17"/>
          </reference>
        </references>
      </pivotArea>
    </format>
    <format dxfId="1238">
      <pivotArea dataOnly="0" labelOnly="1" outline="0" fieldPosition="0">
        <references count="2">
          <reference field="9" count="1" selected="0">
            <x v="46"/>
          </reference>
          <reference field="10" count="1">
            <x v="21"/>
          </reference>
        </references>
      </pivotArea>
    </format>
    <format dxfId="1237">
      <pivotArea dataOnly="0" labelOnly="1" outline="0" fieldPosition="0">
        <references count="2">
          <reference field="9" count="1" selected="0">
            <x v="47"/>
          </reference>
          <reference field="10" count="1">
            <x v="25"/>
          </reference>
        </references>
      </pivotArea>
    </format>
    <format dxfId="1236">
      <pivotArea dataOnly="0" labelOnly="1" outline="0" fieldPosition="0">
        <references count="2">
          <reference field="9" count="1" selected="0">
            <x v="48"/>
          </reference>
          <reference field="10" count="1">
            <x v="29"/>
          </reference>
        </references>
      </pivotArea>
    </format>
    <format dxfId="1235">
      <pivotArea dataOnly="0" labelOnly="1" outline="0" fieldPosition="0">
        <references count="2">
          <reference field="9" count="1" selected="0">
            <x v="49"/>
          </reference>
          <reference field="10" count="1">
            <x v="33"/>
          </reference>
        </references>
      </pivotArea>
    </format>
    <format dxfId="1234">
      <pivotArea dataOnly="0" labelOnly="1" outline="0" fieldPosition="0">
        <references count="2">
          <reference field="9" count="1" selected="0">
            <x v="50"/>
          </reference>
          <reference field="10" count="1">
            <x v="37"/>
          </reference>
        </references>
      </pivotArea>
    </format>
    <format dxfId="1233">
      <pivotArea dataOnly="0" labelOnly="1" outline="0" fieldPosition="0">
        <references count="2">
          <reference field="9" count="1" selected="0">
            <x v="51"/>
          </reference>
          <reference field="10" count="1">
            <x v="41"/>
          </reference>
        </references>
      </pivotArea>
    </format>
    <format dxfId="1232">
      <pivotArea dataOnly="0" labelOnly="1" outline="0" fieldPosition="0">
        <references count="2">
          <reference field="9" count="1" selected="0">
            <x v="52"/>
          </reference>
          <reference field="10" count="1">
            <x v="45"/>
          </reference>
        </references>
      </pivotArea>
    </format>
    <format dxfId="1231">
      <pivotArea dataOnly="0" labelOnly="1" outline="0" fieldPosition="0">
        <references count="2">
          <reference field="9" count="1" selected="0">
            <x v="53"/>
          </reference>
          <reference field="10" count="1">
            <x v="49"/>
          </reference>
        </references>
      </pivotArea>
    </format>
    <format dxfId="1230">
      <pivotArea dataOnly="0" labelOnly="1" outline="0" fieldPosition="0">
        <references count="2">
          <reference field="9" count="1" selected="0">
            <x v="54"/>
          </reference>
          <reference field="10" count="1">
            <x v="4"/>
          </reference>
        </references>
      </pivotArea>
    </format>
    <format dxfId="1229">
      <pivotArea dataOnly="0" labelOnly="1" outline="0" fieldPosition="0">
        <references count="2">
          <reference field="9" count="1" selected="0">
            <x v="55"/>
          </reference>
          <reference field="10" count="1">
            <x v="5"/>
          </reference>
        </references>
      </pivotArea>
    </format>
    <format dxfId="1228">
      <pivotArea dataOnly="0" labelOnly="1" outline="0" fieldPosition="0">
        <references count="2">
          <reference field="9" count="1" selected="0">
            <x v="56"/>
          </reference>
          <reference field="10" count="1">
            <x v="6"/>
          </reference>
        </references>
      </pivotArea>
    </format>
    <format dxfId="1227">
      <pivotArea dataOnly="0" labelOnly="1" outline="0" fieldPosition="0">
        <references count="2">
          <reference field="9" count="1" selected="0">
            <x v="57"/>
          </reference>
          <reference field="10" count="1">
            <x v="7"/>
          </reference>
        </references>
      </pivotArea>
    </format>
    <format dxfId="1226">
      <pivotArea dataOnly="0" labelOnly="1" outline="0" fieldPosition="0">
        <references count="2">
          <reference field="9" count="1" selected="0">
            <x v="58"/>
          </reference>
          <reference field="10" count="1">
            <x v="0"/>
          </reference>
        </references>
      </pivotArea>
    </format>
    <format dxfId="1225">
      <pivotArea dataOnly="0" labelOnly="1" outline="0" fieldPosition="0">
        <references count="2">
          <reference field="9" count="1" selected="0">
            <x v="59"/>
          </reference>
          <reference field="10" count="1">
            <x v="1"/>
          </reference>
        </references>
      </pivotArea>
    </format>
    <format dxfId="1224">
      <pivotArea dataOnly="0" labelOnly="1" outline="0" fieldPosition="0">
        <references count="2">
          <reference field="9" count="1" selected="0">
            <x v="60"/>
          </reference>
          <reference field="10" count="1">
            <x v="2"/>
          </reference>
        </references>
      </pivotArea>
    </format>
    <format dxfId="1223">
      <pivotArea dataOnly="0" labelOnly="1" outline="0" fieldPosition="0">
        <references count="2">
          <reference field="9" count="1" selected="0">
            <x v="61"/>
          </reference>
          <reference field="10" count="1">
            <x v="3"/>
          </reference>
        </references>
      </pivotArea>
    </format>
    <format dxfId="1222">
      <pivotArea dataOnly="0" labelOnly="1" outline="0" fieldPosition="0">
        <references count="2">
          <reference field="9" count="1" selected="0">
            <x v="62"/>
          </reference>
          <reference field="10" count="1">
            <x v="8"/>
          </reference>
        </references>
      </pivotArea>
    </format>
    <format dxfId="1221">
      <pivotArea dataOnly="0" labelOnly="1" outline="0" fieldPosition="0">
        <references count="3">
          <reference field="9" count="1" selected="0">
            <x v="0"/>
          </reference>
          <reference field="10" count="1" selected="0">
            <x v="58"/>
          </reference>
          <reference field="18" count="1">
            <x v="28"/>
          </reference>
        </references>
      </pivotArea>
    </format>
    <format dxfId="1220">
      <pivotArea dataOnly="0" labelOnly="1" outline="0" fieldPosition="0">
        <references count="3">
          <reference field="9" count="1" selected="0">
            <x v="2"/>
          </reference>
          <reference field="10" count="1" selected="0">
            <x v="56"/>
          </reference>
          <reference field="18" count="5">
            <x v="5"/>
            <x v="12"/>
            <x v="16"/>
            <x v="22"/>
            <x v="30"/>
          </reference>
        </references>
      </pivotArea>
    </format>
    <format dxfId="1219">
      <pivotArea dataOnly="0" labelOnly="1" outline="0" fieldPosition="0">
        <references count="3">
          <reference field="9" count="1" selected="0">
            <x v="3"/>
          </reference>
          <reference field="10" count="1" selected="0">
            <x v="55"/>
          </reference>
          <reference field="18" count="12">
            <x v="0"/>
            <x v="3"/>
            <x v="5"/>
            <x v="6"/>
            <x v="8"/>
            <x v="9"/>
            <x v="12"/>
            <x v="13"/>
            <x v="18"/>
            <x v="22"/>
            <x v="25"/>
            <x v="30"/>
          </reference>
        </references>
      </pivotArea>
    </format>
    <format dxfId="1218">
      <pivotArea dataOnly="0" labelOnly="1" outline="0" fieldPosition="0">
        <references count="3">
          <reference field="9" count="1" selected="0">
            <x v="4"/>
          </reference>
          <reference field="10" count="1" selected="0">
            <x v="54"/>
          </reference>
          <reference field="18" count="12">
            <x v="3"/>
            <x v="6"/>
            <x v="7"/>
            <x v="8"/>
            <x v="9"/>
            <x v="12"/>
            <x v="14"/>
            <x v="16"/>
            <x v="18"/>
            <x v="22"/>
            <x v="24"/>
            <x v="25"/>
          </reference>
        </references>
      </pivotArea>
    </format>
    <format dxfId="1217">
      <pivotArea dataOnly="0" labelOnly="1" outline="0" fieldPosition="0">
        <references count="3">
          <reference field="9" count="1" selected="0">
            <x v="5"/>
          </reference>
          <reference field="10" count="1" selected="0">
            <x v="59"/>
          </reference>
          <reference field="18" count="16">
            <x v="0"/>
            <x v="3"/>
            <x v="5"/>
            <x v="6"/>
            <x v="7"/>
            <x v="8"/>
            <x v="9"/>
            <x v="12"/>
            <x v="15"/>
            <x v="16"/>
            <x v="18"/>
            <x v="22"/>
            <x v="24"/>
            <x v="25"/>
            <x v="29"/>
            <x v="30"/>
          </reference>
        </references>
      </pivotArea>
    </format>
    <format dxfId="1216">
      <pivotArea dataOnly="0" labelOnly="1" outline="0" fieldPosition="0">
        <references count="3">
          <reference field="9" count="1" selected="0">
            <x v="6"/>
          </reference>
          <reference field="10" count="1" selected="0">
            <x v="53"/>
          </reference>
          <reference field="18" count="1">
            <x v="20"/>
          </reference>
        </references>
      </pivotArea>
    </format>
    <format dxfId="1215">
      <pivotArea dataOnly="0" labelOnly="1" outline="0" fieldPosition="0">
        <references count="3">
          <reference field="9" count="1" selected="0">
            <x v="7"/>
          </reference>
          <reference field="10" count="1" selected="0">
            <x v="60"/>
          </reference>
          <reference field="18" count="1">
            <x v="31"/>
          </reference>
        </references>
      </pivotArea>
    </format>
    <format dxfId="1214">
      <pivotArea dataOnly="0" labelOnly="1" outline="0" fieldPosition="0">
        <references count="3">
          <reference field="9" count="1" selected="0">
            <x v="8"/>
          </reference>
          <reference field="10" count="1" selected="0">
            <x v="61"/>
          </reference>
          <reference field="18" count="10">
            <x v="5"/>
            <x v="8"/>
            <x v="9"/>
            <x v="12"/>
            <x v="22"/>
            <x v="24"/>
            <x v="25"/>
            <x v="29"/>
            <x v="30"/>
            <x v="31"/>
          </reference>
        </references>
      </pivotArea>
    </format>
    <format dxfId="1213">
      <pivotArea dataOnly="0" labelOnly="1" outline="0" fieldPosition="0">
        <references count="3">
          <reference field="9" count="1" selected="0">
            <x v="9"/>
          </reference>
          <reference field="10" count="1" selected="0">
            <x v="62"/>
          </reference>
          <reference field="18" count="17">
            <x v="0"/>
            <x v="3"/>
            <x v="4"/>
            <x v="5"/>
            <x v="6"/>
            <x v="8"/>
            <x v="9"/>
            <x v="12"/>
            <x v="14"/>
            <x v="18"/>
            <x v="19"/>
            <x v="22"/>
            <x v="24"/>
            <x v="25"/>
            <x v="29"/>
            <x v="30"/>
            <x v="31"/>
          </reference>
        </references>
      </pivotArea>
    </format>
    <format dxfId="1212">
      <pivotArea dataOnly="0" labelOnly="1" outline="0" fieldPosition="0">
        <references count="3">
          <reference field="9" count="1" selected="0">
            <x v="10"/>
          </reference>
          <reference field="10" count="1" selected="0">
            <x v="10"/>
          </reference>
          <reference field="18" count="11">
            <x v="1"/>
            <x v="3"/>
            <x v="7"/>
            <x v="11"/>
            <x v="12"/>
            <x v="14"/>
            <x v="15"/>
            <x v="21"/>
            <x v="22"/>
            <x v="28"/>
            <x v="29"/>
          </reference>
        </references>
      </pivotArea>
    </format>
    <format dxfId="1211">
      <pivotArea dataOnly="0" labelOnly="1" outline="0" fieldPosition="0">
        <references count="3">
          <reference field="9" count="1" selected="0">
            <x v="11"/>
          </reference>
          <reference field="10" count="1" selected="0">
            <x v="14"/>
          </reference>
          <reference field="18" count="1">
            <x v="3"/>
          </reference>
        </references>
      </pivotArea>
    </format>
    <format dxfId="1210">
      <pivotArea dataOnly="0" labelOnly="1" outline="0" fieldPosition="0">
        <references count="3">
          <reference field="9" count="1" selected="0">
            <x v="12"/>
          </reference>
          <reference field="10" count="1" selected="0">
            <x v="18"/>
          </reference>
          <reference field="18" count="18">
            <x v="0"/>
            <x v="1"/>
            <x v="3"/>
            <x v="7"/>
            <x v="8"/>
            <x v="9"/>
            <x v="11"/>
            <x v="12"/>
            <x v="13"/>
            <x v="14"/>
            <x v="15"/>
            <x v="16"/>
            <x v="18"/>
            <x v="22"/>
            <x v="27"/>
            <x v="28"/>
            <x v="29"/>
            <x v="30"/>
          </reference>
        </references>
      </pivotArea>
    </format>
    <format dxfId="1209">
      <pivotArea dataOnly="0" labelOnly="1" outline="0" fieldPosition="0">
        <references count="3">
          <reference field="9" count="1" selected="0">
            <x v="13"/>
          </reference>
          <reference field="10" count="1" selected="0">
            <x v="22"/>
          </reference>
          <reference field="18" count="1">
            <x v="6"/>
          </reference>
        </references>
      </pivotArea>
    </format>
    <format dxfId="1208">
      <pivotArea dataOnly="0" labelOnly="1" outline="0" fieldPosition="0">
        <references count="3">
          <reference field="9" count="1" selected="0">
            <x v="14"/>
          </reference>
          <reference field="10" count="1" selected="0">
            <x v="26"/>
          </reference>
          <reference field="18" count="2">
            <x v="16"/>
            <x v="30"/>
          </reference>
        </references>
      </pivotArea>
    </format>
    <format dxfId="1207">
      <pivotArea dataOnly="0" labelOnly="1" outline="0" fieldPosition="0">
        <references count="3">
          <reference field="9" count="1" selected="0">
            <x v="15"/>
          </reference>
          <reference field="10" count="1" selected="0">
            <x v="30"/>
          </reference>
          <reference field="18" count="11">
            <x v="1"/>
            <x v="3"/>
            <x v="5"/>
            <x v="7"/>
            <x v="12"/>
            <x v="14"/>
            <x v="15"/>
            <x v="16"/>
            <x v="22"/>
            <x v="28"/>
            <x v="29"/>
          </reference>
        </references>
      </pivotArea>
    </format>
    <format dxfId="1206">
      <pivotArea dataOnly="0" labelOnly="1" outline="0" fieldPosition="0">
        <references count="3">
          <reference field="9" count="1" selected="0">
            <x v="16"/>
          </reference>
          <reference field="10" count="1" selected="0">
            <x v="34"/>
          </reference>
          <reference field="18" count="1">
            <x v="22"/>
          </reference>
        </references>
      </pivotArea>
    </format>
    <format dxfId="1205">
      <pivotArea dataOnly="0" labelOnly="1" outline="0" fieldPosition="0">
        <references count="3">
          <reference field="9" count="1" selected="0">
            <x v="17"/>
          </reference>
          <reference field="10" count="1" selected="0">
            <x v="38"/>
          </reference>
          <reference field="18" count="3">
            <x v="11"/>
            <x v="13"/>
            <x v="29"/>
          </reference>
        </references>
      </pivotArea>
    </format>
    <format dxfId="1204">
      <pivotArea dataOnly="0" labelOnly="1" outline="0" fieldPosition="0">
        <references count="3">
          <reference field="9" count="1" selected="0">
            <x v="18"/>
          </reference>
          <reference field="10" count="1" selected="0">
            <x v="42"/>
          </reference>
          <reference field="18" count="10">
            <x v="1"/>
            <x v="3"/>
            <x v="5"/>
            <x v="7"/>
            <x v="8"/>
            <x v="9"/>
            <x v="12"/>
            <x v="14"/>
            <x v="15"/>
            <x v="28"/>
          </reference>
        </references>
      </pivotArea>
    </format>
    <format dxfId="1203">
      <pivotArea dataOnly="0" labelOnly="1" outline="0" fieldPosition="0">
        <references count="3">
          <reference field="9" count="1" selected="0">
            <x v="19"/>
          </reference>
          <reference field="10" count="1" selected="0">
            <x v="46"/>
          </reference>
          <reference field="18" count="2">
            <x v="6"/>
            <x v="22"/>
          </reference>
        </references>
      </pivotArea>
    </format>
    <format dxfId="1202">
      <pivotArea dataOnly="0" labelOnly="1" outline="0" fieldPosition="0">
        <references count="3">
          <reference field="9" count="1" selected="0">
            <x v="20"/>
          </reference>
          <reference field="10" count="1" selected="0">
            <x v="50"/>
          </reference>
          <reference field="18" count="1">
            <x v="6"/>
          </reference>
        </references>
      </pivotArea>
    </format>
    <format dxfId="1201">
      <pivotArea dataOnly="0" labelOnly="1" outline="0" fieldPosition="0">
        <references count="3">
          <reference field="9" count="1" selected="0">
            <x v="21"/>
          </reference>
          <reference field="10" count="1" selected="0">
            <x v="11"/>
          </reference>
          <reference field="18" count="10">
            <x v="0"/>
            <x v="1"/>
            <x v="3"/>
            <x v="7"/>
            <x v="9"/>
            <x v="12"/>
            <x v="14"/>
            <x v="15"/>
            <x v="28"/>
            <x v="29"/>
          </reference>
        </references>
      </pivotArea>
    </format>
    <format dxfId="1200">
      <pivotArea dataOnly="0" labelOnly="1" outline="0" fieldPosition="0">
        <references count="3">
          <reference field="9" count="1" selected="0">
            <x v="22"/>
          </reference>
          <reference field="10" count="1" selected="0">
            <x v="15"/>
          </reference>
          <reference field="18" count="1">
            <x v="3"/>
          </reference>
        </references>
      </pivotArea>
    </format>
    <format dxfId="1199">
      <pivotArea dataOnly="0" labelOnly="1" outline="0" fieldPosition="0">
        <references count="3">
          <reference field="9" count="1" selected="0">
            <x v="23"/>
          </reference>
          <reference field="10" count="1" selected="0">
            <x v="19"/>
          </reference>
          <reference field="18" count="17">
            <x v="0"/>
            <x v="7"/>
            <x v="8"/>
            <x v="9"/>
            <x v="11"/>
            <x v="12"/>
            <x v="13"/>
            <x v="14"/>
            <x v="15"/>
            <x v="16"/>
            <x v="18"/>
            <x v="22"/>
            <x v="25"/>
            <x v="27"/>
            <x v="28"/>
            <x v="29"/>
            <x v="30"/>
          </reference>
        </references>
      </pivotArea>
    </format>
    <format dxfId="1198">
      <pivotArea dataOnly="0" labelOnly="1" outline="0" fieldPosition="0">
        <references count="3">
          <reference field="9" count="1" selected="0">
            <x v="24"/>
          </reference>
          <reference field="10" count="1" selected="0">
            <x v="23"/>
          </reference>
          <reference field="18" count="1">
            <x v="6"/>
          </reference>
        </references>
      </pivotArea>
    </format>
    <format dxfId="1197">
      <pivotArea dataOnly="0" labelOnly="1" outline="0" fieldPosition="0">
        <references count="3">
          <reference field="9" count="1" selected="0">
            <x v="25"/>
          </reference>
          <reference field="10" count="1" selected="0">
            <x v="27"/>
          </reference>
          <reference field="18" count="5">
            <x v="3"/>
            <x v="5"/>
            <x v="16"/>
            <x v="28"/>
            <x v="30"/>
          </reference>
        </references>
      </pivotArea>
    </format>
    <format dxfId="1196">
      <pivotArea dataOnly="0" labelOnly="1" outline="0" fieldPosition="0">
        <references count="3">
          <reference field="9" count="1" selected="0">
            <x v="26"/>
          </reference>
          <reference field="10" count="1" selected="0">
            <x v="31"/>
          </reference>
          <reference field="18" count="14">
            <x v="0"/>
            <x v="3"/>
            <x v="5"/>
            <x v="7"/>
            <x v="9"/>
            <x v="12"/>
            <x v="14"/>
            <x v="15"/>
            <x v="16"/>
            <x v="18"/>
            <x v="22"/>
            <x v="25"/>
            <x v="28"/>
            <x v="29"/>
          </reference>
        </references>
      </pivotArea>
    </format>
    <format dxfId="1195">
      <pivotArea dataOnly="0" labelOnly="1" outline="0" fieldPosition="0">
        <references count="3">
          <reference field="9" count="1" selected="0">
            <x v="27"/>
          </reference>
          <reference field="10" count="1" selected="0">
            <x v="35"/>
          </reference>
          <reference field="18" count="1">
            <x v="22"/>
          </reference>
        </references>
      </pivotArea>
    </format>
    <format dxfId="1194">
      <pivotArea dataOnly="0" labelOnly="1" outline="0" fieldPosition="0">
        <references count="3">
          <reference field="9" count="1" selected="0">
            <x v="28"/>
          </reference>
          <reference field="10" count="1" selected="0">
            <x v="39"/>
          </reference>
          <reference field="18" count="5">
            <x v="11"/>
            <x v="12"/>
            <x v="13"/>
            <x v="15"/>
            <x v="27"/>
          </reference>
        </references>
      </pivotArea>
    </format>
    <format dxfId="1193">
      <pivotArea dataOnly="0" labelOnly="1" outline="0" fieldPosition="0">
        <references count="3">
          <reference field="9" count="1" selected="0">
            <x v="29"/>
          </reference>
          <reference field="10" count="1" selected="0">
            <x v="43"/>
          </reference>
          <reference field="18" count="8">
            <x v="1"/>
            <x v="3"/>
            <x v="5"/>
            <x v="7"/>
            <x v="15"/>
            <x v="25"/>
            <x v="28"/>
            <x v="29"/>
          </reference>
        </references>
      </pivotArea>
    </format>
    <format dxfId="1192">
      <pivotArea dataOnly="0" labelOnly="1" outline="0" fieldPosition="0">
        <references count="3">
          <reference field="9" count="1" selected="0">
            <x v="30"/>
          </reference>
          <reference field="10" count="1" selected="0">
            <x v="47"/>
          </reference>
          <reference field="18" count="2">
            <x v="6"/>
            <x v="22"/>
          </reference>
        </references>
      </pivotArea>
    </format>
    <format dxfId="1191">
      <pivotArea dataOnly="0" labelOnly="1" outline="0" fieldPosition="0">
        <references count="3">
          <reference field="9" count="1" selected="0">
            <x v="31"/>
          </reference>
          <reference field="10" count="1" selected="0">
            <x v="51"/>
          </reference>
          <reference field="18" count="1">
            <x v="6"/>
          </reference>
        </references>
      </pivotArea>
    </format>
    <format dxfId="1190">
      <pivotArea dataOnly="0" labelOnly="1" outline="0" fieldPosition="0">
        <references count="3">
          <reference field="9" count="1" selected="0">
            <x v="32"/>
          </reference>
          <reference field="10" count="1" selected="0">
            <x v="12"/>
          </reference>
          <reference field="18" count="10">
            <x v="0"/>
            <x v="1"/>
            <x v="3"/>
            <x v="12"/>
            <x v="14"/>
            <x v="21"/>
            <x v="22"/>
            <x v="25"/>
            <x v="28"/>
            <x v="29"/>
          </reference>
        </references>
      </pivotArea>
    </format>
    <format dxfId="1189">
      <pivotArea dataOnly="0" labelOnly="1" outline="0" fieldPosition="0">
        <references count="3">
          <reference field="9" count="1" selected="0">
            <x v="33"/>
          </reference>
          <reference field="10" count="1" selected="0">
            <x v="16"/>
          </reference>
          <reference field="18" count="1">
            <x v="3"/>
          </reference>
        </references>
      </pivotArea>
    </format>
    <format dxfId="1188">
      <pivotArea dataOnly="0" labelOnly="1" outline="0" fieldPosition="0">
        <references count="3">
          <reference field="9" count="1" selected="0">
            <x v="34"/>
          </reference>
          <reference field="10" count="1" selected="0">
            <x v="20"/>
          </reference>
          <reference field="18" count="17">
            <x v="0"/>
            <x v="1"/>
            <x v="7"/>
            <x v="8"/>
            <x v="9"/>
            <x v="11"/>
            <x v="12"/>
            <x v="13"/>
            <x v="15"/>
            <x v="16"/>
            <x v="18"/>
            <x v="22"/>
            <x v="25"/>
            <x v="27"/>
            <x v="28"/>
            <x v="29"/>
            <x v="30"/>
          </reference>
        </references>
      </pivotArea>
    </format>
    <format dxfId="1187">
      <pivotArea dataOnly="0" labelOnly="1" outline="0" fieldPosition="0">
        <references count="3">
          <reference field="9" count="1" selected="0">
            <x v="35"/>
          </reference>
          <reference field="10" count="1" selected="0">
            <x v="24"/>
          </reference>
          <reference field="18" count="1">
            <x v="6"/>
          </reference>
        </references>
      </pivotArea>
    </format>
    <format dxfId="1186">
      <pivotArea dataOnly="0" labelOnly="1" outline="0" fieldPosition="0">
        <references count="3">
          <reference field="9" count="1" selected="0">
            <x v="36"/>
          </reference>
          <reference field="10" count="1" selected="0">
            <x v="28"/>
          </reference>
          <reference field="18" count="3">
            <x v="4"/>
            <x v="16"/>
            <x v="30"/>
          </reference>
        </references>
      </pivotArea>
    </format>
    <format dxfId="1185">
      <pivotArea dataOnly="0" labelOnly="1" outline="0" fieldPosition="0">
        <references count="3">
          <reference field="9" count="1" selected="0">
            <x v="37"/>
          </reference>
          <reference field="10" count="1" selected="0">
            <x v="32"/>
          </reference>
          <reference field="18" count="10">
            <x v="1"/>
            <x v="5"/>
            <x v="7"/>
            <x v="9"/>
            <x v="12"/>
            <x v="14"/>
            <x v="15"/>
            <x v="25"/>
            <x v="28"/>
            <x v="29"/>
          </reference>
        </references>
      </pivotArea>
    </format>
    <format dxfId="1184">
      <pivotArea dataOnly="0" labelOnly="1" outline="0" fieldPosition="0">
        <references count="3">
          <reference field="9" count="1" selected="0">
            <x v="38"/>
          </reference>
          <reference field="10" count="1" selected="0">
            <x v="36"/>
          </reference>
          <reference field="18" count="1">
            <x v="22"/>
          </reference>
        </references>
      </pivotArea>
    </format>
    <format dxfId="1183">
      <pivotArea dataOnly="0" labelOnly="1" outline="0" fieldPosition="0">
        <references count="3">
          <reference field="9" count="1" selected="0">
            <x v="39"/>
          </reference>
          <reference field="10" count="1" selected="0">
            <x v="40"/>
          </reference>
          <reference field="18" count="7">
            <x v="11"/>
            <x v="12"/>
            <x v="13"/>
            <x v="15"/>
            <x v="25"/>
            <x v="27"/>
            <x v="29"/>
          </reference>
        </references>
      </pivotArea>
    </format>
    <format dxfId="1182">
      <pivotArea dataOnly="0" labelOnly="1" outline="0" fieldPosition="0">
        <references count="3">
          <reference field="9" count="1" selected="0">
            <x v="40"/>
          </reference>
          <reference field="10" count="1" selected="0">
            <x v="44"/>
          </reference>
          <reference field="18" count="8">
            <x v="3"/>
            <x v="5"/>
            <x v="7"/>
            <x v="8"/>
            <x v="9"/>
            <x v="14"/>
            <x v="15"/>
            <x v="28"/>
          </reference>
        </references>
      </pivotArea>
    </format>
    <format dxfId="1181">
      <pivotArea dataOnly="0" labelOnly="1" outline="0" fieldPosition="0">
        <references count="3">
          <reference field="9" count="1" selected="0">
            <x v="41"/>
          </reference>
          <reference field="10" count="1" selected="0">
            <x v="48"/>
          </reference>
          <reference field="18" count="2">
            <x v="6"/>
            <x v="22"/>
          </reference>
        </references>
      </pivotArea>
    </format>
    <format dxfId="1180">
      <pivotArea dataOnly="0" labelOnly="1" outline="0" fieldPosition="0">
        <references count="3">
          <reference field="9" count="1" selected="0">
            <x v="42"/>
          </reference>
          <reference field="10" count="1" selected="0">
            <x v="52"/>
          </reference>
          <reference field="18" count="1">
            <x v="6"/>
          </reference>
        </references>
      </pivotArea>
    </format>
    <format dxfId="1179">
      <pivotArea dataOnly="0" labelOnly="1" outline="0" fieldPosition="0">
        <references count="3">
          <reference field="9" count="1" selected="0">
            <x v="43"/>
          </reference>
          <reference field="10" count="1" selected="0">
            <x v="9"/>
          </reference>
          <reference field="18" count="7">
            <x v="1"/>
            <x v="3"/>
            <x v="7"/>
            <x v="14"/>
            <x v="21"/>
            <x v="28"/>
            <x v="29"/>
          </reference>
        </references>
      </pivotArea>
    </format>
    <format dxfId="1178">
      <pivotArea dataOnly="0" labelOnly="1" outline="0" fieldPosition="0">
        <references count="3">
          <reference field="9" count="1" selected="0">
            <x v="44"/>
          </reference>
          <reference field="10" count="1" selected="0">
            <x v="13"/>
          </reference>
          <reference field="18" count="1">
            <x v="3"/>
          </reference>
        </references>
      </pivotArea>
    </format>
    <format dxfId="1177">
      <pivotArea dataOnly="0" labelOnly="1" outline="0" fieldPosition="0">
        <references count="3">
          <reference field="9" count="1" selected="0">
            <x v="45"/>
          </reference>
          <reference field="10" count="1" selected="0">
            <x v="17"/>
          </reference>
          <reference field="18" count="17">
            <x v="0"/>
            <x v="1"/>
            <x v="3"/>
            <x v="7"/>
            <x v="8"/>
            <x v="9"/>
            <x v="11"/>
            <x v="12"/>
            <x v="13"/>
            <x v="14"/>
            <x v="16"/>
            <x v="18"/>
            <x v="22"/>
            <x v="27"/>
            <x v="28"/>
            <x v="29"/>
            <x v="30"/>
          </reference>
        </references>
      </pivotArea>
    </format>
    <format dxfId="1176">
      <pivotArea dataOnly="0" labelOnly="1" outline="0" fieldPosition="0">
        <references count="3">
          <reference field="9" count="1" selected="0">
            <x v="46"/>
          </reference>
          <reference field="10" count="1" selected="0">
            <x v="21"/>
          </reference>
          <reference field="18" count="1">
            <x v="6"/>
          </reference>
        </references>
      </pivotArea>
    </format>
    <format dxfId="1175">
      <pivotArea dataOnly="0" labelOnly="1" outline="0" fieldPosition="0">
        <references count="3">
          <reference field="9" count="1" selected="0">
            <x v="47"/>
          </reference>
          <reference field="10" count="1" selected="0">
            <x v="25"/>
          </reference>
          <reference field="18" count="2">
            <x v="16"/>
            <x v="30"/>
          </reference>
        </references>
      </pivotArea>
    </format>
    <format dxfId="1174">
      <pivotArea dataOnly="0" labelOnly="1" outline="0" fieldPosition="0">
        <references count="3">
          <reference field="9" count="1" selected="0">
            <x v="48"/>
          </reference>
          <reference field="10" count="1" selected="0">
            <x v="29"/>
          </reference>
          <reference field="18" count="8">
            <x v="3"/>
            <x v="5"/>
            <x v="7"/>
            <x v="14"/>
            <x v="16"/>
            <x v="19"/>
            <x v="25"/>
            <x v="28"/>
          </reference>
        </references>
      </pivotArea>
    </format>
    <format dxfId="1173">
      <pivotArea dataOnly="0" labelOnly="1" outline="0" fieldPosition="0">
        <references count="3">
          <reference field="9" count="1" selected="0">
            <x v="49"/>
          </reference>
          <reference field="10" count="1" selected="0">
            <x v="33"/>
          </reference>
          <reference field="18" count="1">
            <x v="22"/>
          </reference>
        </references>
      </pivotArea>
    </format>
    <format dxfId="1172">
      <pivotArea dataOnly="0" labelOnly="1" outline="0" fieldPosition="0">
        <references count="3">
          <reference field="9" count="1" selected="0">
            <x v="50"/>
          </reference>
          <reference field="10" count="1" selected="0">
            <x v="37"/>
          </reference>
          <reference field="18" count="5">
            <x v="0"/>
            <x v="11"/>
            <x v="13"/>
            <x v="27"/>
            <x v="29"/>
          </reference>
        </references>
      </pivotArea>
    </format>
    <format dxfId="1171">
      <pivotArea dataOnly="0" labelOnly="1" outline="0" fieldPosition="0">
        <references count="3">
          <reference field="9" count="1" selected="0">
            <x v="51"/>
          </reference>
          <reference field="10" count="1" selected="0">
            <x v="41"/>
          </reference>
          <reference field="18" count="8">
            <x v="1"/>
            <x v="3"/>
            <x v="7"/>
            <x v="9"/>
            <x v="12"/>
            <x v="18"/>
            <x v="25"/>
            <x v="28"/>
          </reference>
        </references>
      </pivotArea>
    </format>
    <format dxfId="1170">
      <pivotArea dataOnly="0" labelOnly="1" outline="0" fieldPosition="0">
        <references count="3">
          <reference field="9" count="1" selected="0">
            <x v="52"/>
          </reference>
          <reference field="10" count="1" selected="0">
            <x v="45"/>
          </reference>
          <reference field="18" count="2">
            <x v="6"/>
            <x v="22"/>
          </reference>
        </references>
      </pivotArea>
    </format>
    <format dxfId="1169">
      <pivotArea dataOnly="0" labelOnly="1" outline="0" fieldPosition="0">
        <references count="3">
          <reference field="9" count="1" selected="0">
            <x v="53"/>
          </reference>
          <reference field="10" count="1" selected="0">
            <x v="49"/>
          </reference>
          <reference field="18" count="1">
            <x v="6"/>
          </reference>
        </references>
      </pivotArea>
    </format>
    <format dxfId="1168">
      <pivotArea dataOnly="0" labelOnly="1" outline="0" fieldPosition="0">
        <references count="3">
          <reference field="9" count="1" selected="0">
            <x v="54"/>
          </reference>
          <reference field="10" count="1" selected="0">
            <x v="4"/>
          </reference>
          <reference field="18" count="1">
            <x v="15"/>
          </reference>
        </references>
      </pivotArea>
    </format>
    <format dxfId="1167">
      <pivotArea dataOnly="0" labelOnly="1" outline="0" fieldPosition="0">
        <references count="3">
          <reference field="9" count="1" selected="0">
            <x v="55"/>
          </reference>
          <reference field="10" count="1" selected="0">
            <x v="5"/>
          </reference>
          <reference field="18" count="9">
            <x v="3"/>
            <x v="5"/>
            <x v="6"/>
            <x v="7"/>
            <x v="11"/>
            <x v="13"/>
            <x v="19"/>
            <x v="21"/>
            <x v="27"/>
          </reference>
        </references>
      </pivotArea>
    </format>
    <format dxfId="1166">
      <pivotArea dataOnly="0" labelOnly="1" outline="0" fieldPosition="0">
        <references count="3">
          <reference field="9" count="1" selected="0">
            <x v="56"/>
          </reference>
          <reference field="10" count="1" selected="0">
            <x v="6"/>
          </reference>
          <reference field="18" count="9">
            <x v="3"/>
            <x v="5"/>
            <x v="6"/>
            <x v="7"/>
            <x v="8"/>
            <x v="11"/>
            <x v="13"/>
            <x v="22"/>
            <x v="27"/>
          </reference>
        </references>
      </pivotArea>
    </format>
    <format dxfId="1165">
      <pivotArea dataOnly="0" labelOnly="1" outline="0" fieldPosition="0">
        <references count="3">
          <reference field="9" count="1" selected="0">
            <x v="57"/>
          </reference>
          <reference field="10" count="1" selected="0">
            <x v="7"/>
          </reference>
          <reference field="18" count="10">
            <x v="3"/>
            <x v="5"/>
            <x v="6"/>
            <x v="7"/>
            <x v="11"/>
            <x v="13"/>
            <x v="15"/>
            <x v="16"/>
            <x v="22"/>
            <x v="27"/>
          </reference>
        </references>
      </pivotArea>
    </format>
    <format dxfId="1164">
      <pivotArea dataOnly="0" labelOnly="1" outline="0" fieldPosition="0">
        <references count="3">
          <reference field="9" count="1" selected="0">
            <x v="58"/>
          </reference>
          <reference field="10" count="1" selected="0">
            <x v="0"/>
          </reference>
          <reference field="18" count="11">
            <x v="0"/>
            <x v="3"/>
            <x v="5"/>
            <x v="8"/>
            <x v="9"/>
            <x v="12"/>
            <x v="18"/>
            <x v="19"/>
            <x v="22"/>
            <x v="25"/>
            <x v="28"/>
          </reference>
        </references>
      </pivotArea>
    </format>
    <format dxfId="1163">
      <pivotArea dataOnly="0" labelOnly="1" outline="0" fieldPosition="0">
        <references count="3">
          <reference field="9" count="1" selected="0">
            <x v="59"/>
          </reference>
          <reference field="10" count="1" selected="0">
            <x v="1"/>
          </reference>
          <reference field="18" count="9">
            <x v="3"/>
            <x v="4"/>
            <x v="8"/>
            <x v="9"/>
            <x v="12"/>
            <x v="19"/>
            <x v="22"/>
            <x v="28"/>
            <x v="30"/>
          </reference>
        </references>
      </pivotArea>
    </format>
    <format dxfId="1162">
      <pivotArea dataOnly="0" labelOnly="1" outline="0" fieldPosition="0">
        <references count="3">
          <reference field="9" count="1" selected="0">
            <x v="60"/>
          </reference>
          <reference field="10" count="1" selected="0">
            <x v="2"/>
          </reference>
          <reference field="18" count="9">
            <x v="4"/>
            <x v="5"/>
            <x v="6"/>
            <x v="8"/>
            <x v="12"/>
            <x v="19"/>
            <x v="22"/>
            <x v="25"/>
            <x v="28"/>
          </reference>
        </references>
      </pivotArea>
    </format>
    <format dxfId="1161">
      <pivotArea dataOnly="0" labelOnly="1" outline="0" fieldPosition="0">
        <references count="3">
          <reference field="9" count="1" selected="0">
            <x v="61"/>
          </reference>
          <reference field="10" count="1" selected="0">
            <x v="3"/>
          </reference>
          <reference field="18" count="12">
            <x v="0"/>
            <x v="3"/>
            <x v="4"/>
            <x v="8"/>
            <x v="9"/>
            <x v="12"/>
            <x v="19"/>
            <x v="22"/>
            <x v="24"/>
            <x v="25"/>
            <x v="28"/>
            <x v="30"/>
          </reference>
        </references>
      </pivotArea>
    </format>
    <format dxfId="1160">
      <pivotArea dataOnly="0" labelOnly="1" outline="0" fieldPosition="0">
        <references count="3">
          <reference field="9" count="1" selected="0">
            <x v="62"/>
          </reference>
          <reference field="10" count="1" selected="0">
            <x v="8"/>
          </reference>
          <reference field="18" count="2">
            <x v="6"/>
            <x v="22"/>
          </reference>
        </references>
      </pivotArea>
    </format>
    <format dxfId="1159">
      <pivotArea dataOnly="0" labelOnly="1" outline="0" fieldPosition="0">
        <references count="4">
          <reference field="9" count="1" selected="0">
            <x v="0"/>
          </reference>
          <reference field="10" count="1" selected="0">
            <x v="58"/>
          </reference>
          <reference field="14" count="1">
            <x v="5"/>
          </reference>
          <reference field="18" count="1" selected="0">
            <x v="28"/>
          </reference>
        </references>
      </pivotArea>
    </format>
    <format dxfId="1158">
      <pivotArea dataOnly="0" labelOnly="1" outline="0" fieldPosition="0">
        <references count="4">
          <reference field="9" count="1" selected="0">
            <x v="2"/>
          </reference>
          <reference field="10" count="1" selected="0">
            <x v="56"/>
          </reference>
          <reference field="14" count="1">
            <x v="28"/>
          </reference>
          <reference field="18" count="1" selected="0">
            <x v="5"/>
          </reference>
        </references>
      </pivotArea>
    </format>
    <format dxfId="1157">
      <pivotArea dataOnly="0" labelOnly="1" outline="0" fieldPosition="0">
        <references count="4">
          <reference field="9" count="1" selected="0">
            <x v="2"/>
          </reference>
          <reference field="10" count="1" selected="0">
            <x v="56"/>
          </reference>
          <reference field="14" count="1">
            <x v="16"/>
          </reference>
          <reference field="18" count="1" selected="0">
            <x v="12"/>
          </reference>
        </references>
      </pivotArea>
    </format>
    <format dxfId="1156">
      <pivotArea dataOnly="0" labelOnly="1" outline="0" fieldPosition="0">
        <references count="4">
          <reference field="9" count="1" selected="0">
            <x v="2"/>
          </reference>
          <reference field="10" count="1" selected="0">
            <x v="56"/>
          </reference>
          <reference field="14" count="1">
            <x v="19"/>
          </reference>
          <reference field="18" count="1" selected="0">
            <x v="16"/>
          </reference>
        </references>
      </pivotArea>
    </format>
    <format dxfId="1155">
      <pivotArea dataOnly="0" labelOnly="1" outline="0" fieldPosition="0">
        <references count="4">
          <reference field="9" count="1" selected="0">
            <x v="2"/>
          </reference>
          <reference field="10" count="1" selected="0">
            <x v="56"/>
          </reference>
          <reference field="14" count="1">
            <x v="7"/>
          </reference>
          <reference field="18" count="1" selected="0">
            <x v="22"/>
          </reference>
        </references>
      </pivotArea>
    </format>
    <format dxfId="1154">
      <pivotArea dataOnly="0" labelOnly="1" outline="0" fieldPosition="0">
        <references count="4">
          <reference field="9" count="1" selected="0">
            <x v="2"/>
          </reference>
          <reference field="10" count="1" selected="0">
            <x v="56"/>
          </reference>
          <reference field="14" count="1">
            <x v="26"/>
          </reference>
          <reference field="18" count="1" selected="0">
            <x v="30"/>
          </reference>
        </references>
      </pivotArea>
    </format>
    <format dxfId="1153">
      <pivotArea dataOnly="0" labelOnly="1" outline="0" fieldPosition="0">
        <references count="4">
          <reference field="9" count="1" selected="0">
            <x v="3"/>
          </reference>
          <reference field="10" count="1" selected="0">
            <x v="55"/>
          </reference>
          <reference field="14" count="1">
            <x v="4"/>
          </reference>
          <reference field="18" count="1" selected="0">
            <x v="0"/>
          </reference>
        </references>
      </pivotArea>
    </format>
    <format dxfId="1152">
      <pivotArea dataOnly="0" labelOnly="1" outline="0" fieldPosition="0">
        <references count="4">
          <reference field="9" count="1" selected="0">
            <x v="3"/>
          </reference>
          <reference field="10" count="1" selected="0">
            <x v="55"/>
          </reference>
          <reference field="14" count="1">
            <x v="11"/>
          </reference>
          <reference field="18" count="1" selected="0">
            <x v="3"/>
          </reference>
        </references>
      </pivotArea>
    </format>
    <format dxfId="1151">
      <pivotArea dataOnly="0" labelOnly="1" outline="0" fieldPosition="0">
        <references count="4">
          <reference field="9" count="1" selected="0">
            <x v="3"/>
          </reference>
          <reference field="10" count="1" selected="0">
            <x v="55"/>
          </reference>
          <reference field="14" count="1">
            <x v="28"/>
          </reference>
          <reference field="18" count="1" selected="0">
            <x v="5"/>
          </reference>
        </references>
      </pivotArea>
    </format>
    <format dxfId="1150">
      <pivotArea dataOnly="0" labelOnly="1" outline="0" fieldPosition="0">
        <references count="4">
          <reference field="9" count="1" selected="0">
            <x v="3"/>
          </reference>
          <reference field="10" count="1" selected="0">
            <x v="55"/>
          </reference>
          <reference field="14" count="1">
            <x v="27"/>
          </reference>
          <reference field="18" count="1" selected="0">
            <x v="6"/>
          </reference>
        </references>
      </pivotArea>
    </format>
    <format dxfId="1149">
      <pivotArea dataOnly="0" labelOnly="1" outline="0" fieldPosition="0">
        <references count="4">
          <reference field="9" count="1" selected="0">
            <x v="3"/>
          </reference>
          <reference field="10" count="1" selected="0">
            <x v="55"/>
          </reference>
          <reference field="14" count="1">
            <x v="9"/>
          </reference>
          <reference field="18" count="1" selected="0">
            <x v="8"/>
          </reference>
        </references>
      </pivotArea>
    </format>
    <format dxfId="1148">
      <pivotArea dataOnly="0" labelOnly="1" outline="0" fieldPosition="0">
        <references count="4">
          <reference field="9" count="1" selected="0">
            <x v="3"/>
          </reference>
          <reference field="10" count="1" selected="0">
            <x v="55"/>
          </reference>
          <reference field="14" count="1">
            <x v="8"/>
          </reference>
          <reference field="18" count="1" selected="0">
            <x v="9"/>
          </reference>
        </references>
      </pivotArea>
    </format>
    <format dxfId="1147">
      <pivotArea dataOnly="0" labelOnly="1" outline="0" fieldPosition="0">
        <references count="4">
          <reference field="9" count="1" selected="0">
            <x v="3"/>
          </reference>
          <reference field="10" count="1" selected="0">
            <x v="55"/>
          </reference>
          <reference field="14" count="1">
            <x v="16"/>
          </reference>
          <reference field="18" count="1" selected="0">
            <x v="12"/>
          </reference>
        </references>
      </pivotArea>
    </format>
    <format dxfId="1146">
      <pivotArea dataOnly="0" labelOnly="1" outline="0" fieldPosition="0">
        <references count="4">
          <reference field="9" count="1" selected="0">
            <x v="3"/>
          </reference>
          <reference field="10" count="1" selected="0">
            <x v="55"/>
          </reference>
          <reference field="14" count="1">
            <x v="18"/>
          </reference>
          <reference field="18" count="1" selected="0">
            <x v="13"/>
          </reference>
        </references>
      </pivotArea>
    </format>
    <format dxfId="1145">
      <pivotArea dataOnly="0" labelOnly="1" outline="0" fieldPosition="0">
        <references count="4">
          <reference field="9" count="1" selected="0">
            <x v="3"/>
          </reference>
          <reference field="10" count="1" selected="0">
            <x v="55"/>
          </reference>
          <reference field="14" count="1">
            <x v="14"/>
          </reference>
          <reference field="18" count="1" selected="0">
            <x v="18"/>
          </reference>
        </references>
      </pivotArea>
    </format>
    <format dxfId="1144">
      <pivotArea dataOnly="0" labelOnly="1" outline="0" fieldPosition="0">
        <references count="4">
          <reference field="9" count="1" selected="0">
            <x v="3"/>
          </reference>
          <reference field="10" count="1" selected="0">
            <x v="55"/>
          </reference>
          <reference field="14" count="1">
            <x v="7"/>
          </reference>
          <reference field="18" count="1" selected="0">
            <x v="22"/>
          </reference>
        </references>
      </pivotArea>
    </format>
    <format dxfId="1143">
      <pivotArea dataOnly="0" labelOnly="1" outline="0" fieldPosition="0">
        <references count="4">
          <reference field="9" count="1" selected="0">
            <x v="3"/>
          </reference>
          <reference field="10" count="1" selected="0">
            <x v="55"/>
          </reference>
          <reference field="14" count="1">
            <x v="22"/>
          </reference>
          <reference field="18" count="1" selected="0">
            <x v="25"/>
          </reference>
        </references>
      </pivotArea>
    </format>
    <format dxfId="1142">
      <pivotArea dataOnly="0" labelOnly="1" outline="0" fieldPosition="0">
        <references count="4">
          <reference field="9" count="1" selected="0">
            <x v="3"/>
          </reference>
          <reference field="10" count="1" selected="0">
            <x v="55"/>
          </reference>
          <reference field="14" count="1">
            <x v="26"/>
          </reference>
          <reference field="18" count="1" selected="0">
            <x v="30"/>
          </reference>
        </references>
      </pivotArea>
    </format>
    <format dxfId="1141">
      <pivotArea dataOnly="0" labelOnly="1" outline="0" fieldPosition="0">
        <references count="4">
          <reference field="9" count="1" selected="0">
            <x v="4"/>
          </reference>
          <reference field="10" count="1" selected="0">
            <x v="54"/>
          </reference>
          <reference field="14" count="1">
            <x v="11"/>
          </reference>
          <reference field="18" count="1" selected="0">
            <x v="3"/>
          </reference>
        </references>
      </pivotArea>
    </format>
    <format dxfId="1140">
      <pivotArea dataOnly="0" labelOnly="1" outline="0" fieldPosition="0">
        <references count="4">
          <reference field="9" count="1" selected="0">
            <x v="4"/>
          </reference>
          <reference field="10" count="1" selected="0">
            <x v="54"/>
          </reference>
          <reference field="14" count="1">
            <x v="27"/>
          </reference>
          <reference field="18" count="1" selected="0">
            <x v="6"/>
          </reference>
        </references>
      </pivotArea>
    </format>
    <format dxfId="1139">
      <pivotArea dataOnly="0" labelOnly="1" outline="0" fieldPosition="0">
        <references count="4">
          <reference field="9" count="1" selected="0">
            <x v="4"/>
          </reference>
          <reference field="10" count="1" selected="0">
            <x v="54"/>
          </reference>
          <reference field="14" count="1">
            <x v="10"/>
          </reference>
          <reference field="18" count="1" selected="0">
            <x v="7"/>
          </reference>
        </references>
      </pivotArea>
    </format>
    <format dxfId="1138">
      <pivotArea dataOnly="0" labelOnly="1" outline="0" fieldPosition="0">
        <references count="4">
          <reference field="9" count="1" selected="0">
            <x v="4"/>
          </reference>
          <reference field="10" count="1" selected="0">
            <x v="54"/>
          </reference>
          <reference field="14" count="1">
            <x v="9"/>
          </reference>
          <reference field="18" count="1" selected="0">
            <x v="8"/>
          </reference>
        </references>
      </pivotArea>
    </format>
    <format dxfId="1137">
      <pivotArea dataOnly="0" labelOnly="1" outline="0" fieldPosition="0">
        <references count="4">
          <reference field="9" count="1" selected="0">
            <x v="4"/>
          </reference>
          <reference field="10" count="1" selected="0">
            <x v="54"/>
          </reference>
          <reference field="14" count="1">
            <x v="8"/>
          </reference>
          <reference field="18" count="1" selected="0">
            <x v="9"/>
          </reference>
        </references>
      </pivotArea>
    </format>
    <format dxfId="1136">
      <pivotArea dataOnly="0" labelOnly="1" outline="0" fieldPosition="0">
        <references count="4">
          <reference field="9" count="1" selected="0">
            <x v="4"/>
          </reference>
          <reference field="10" count="1" selected="0">
            <x v="54"/>
          </reference>
          <reference field="14" count="1">
            <x v="16"/>
          </reference>
          <reference field="18" count="1" selected="0">
            <x v="12"/>
          </reference>
        </references>
      </pivotArea>
    </format>
    <format dxfId="1135">
      <pivotArea dataOnly="0" labelOnly="1" outline="0" fieldPosition="0">
        <references count="4">
          <reference field="9" count="1" selected="0">
            <x v="4"/>
          </reference>
          <reference field="10" count="1" selected="0">
            <x v="54"/>
          </reference>
          <reference field="14" count="1">
            <x v="25"/>
          </reference>
          <reference field="18" count="1" selected="0">
            <x v="14"/>
          </reference>
        </references>
      </pivotArea>
    </format>
    <format dxfId="1134">
      <pivotArea dataOnly="0" labelOnly="1" outline="0" fieldPosition="0">
        <references count="4">
          <reference field="9" count="1" selected="0">
            <x v="4"/>
          </reference>
          <reference field="10" count="1" selected="0">
            <x v="54"/>
          </reference>
          <reference field="14" count="1">
            <x v="19"/>
          </reference>
          <reference field="18" count="1" selected="0">
            <x v="16"/>
          </reference>
        </references>
      </pivotArea>
    </format>
    <format dxfId="1133">
      <pivotArea dataOnly="0" labelOnly="1" outline="0" fieldPosition="0">
        <references count="4">
          <reference field="9" count="1" selected="0">
            <x v="4"/>
          </reference>
          <reference field="10" count="1" selected="0">
            <x v="54"/>
          </reference>
          <reference field="14" count="1">
            <x v="14"/>
          </reference>
          <reference field="18" count="1" selected="0">
            <x v="18"/>
          </reference>
        </references>
      </pivotArea>
    </format>
    <format dxfId="1132">
      <pivotArea dataOnly="0" labelOnly="1" outline="0" fieldPosition="0">
        <references count="4">
          <reference field="9" count="1" selected="0">
            <x v="4"/>
          </reference>
          <reference field="10" count="1" selected="0">
            <x v="54"/>
          </reference>
          <reference field="14" count="1">
            <x v="7"/>
          </reference>
          <reference field="18" count="1" selected="0">
            <x v="22"/>
          </reference>
        </references>
      </pivotArea>
    </format>
    <format dxfId="1131">
      <pivotArea dataOnly="0" labelOnly="1" outline="0" fieldPosition="0">
        <references count="4">
          <reference field="9" count="1" selected="0">
            <x v="4"/>
          </reference>
          <reference field="10" count="1" selected="0">
            <x v="54"/>
          </reference>
          <reference field="14" count="1">
            <x v="23"/>
          </reference>
          <reference field="18" count="1" selected="0">
            <x v="24"/>
          </reference>
        </references>
      </pivotArea>
    </format>
    <format dxfId="1130">
      <pivotArea dataOnly="0" labelOnly="1" outline="0" fieldPosition="0">
        <references count="4">
          <reference field="9" count="1" selected="0">
            <x v="4"/>
          </reference>
          <reference field="10" count="1" selected="0">
            <x v="54"/>
          </reference>
          <reference field="14" count="1">
            <x v="22"/>
          </reference>
          <reference field="18" count="1" selected="0">
            <x v="25"/>
          </reference>
        </references>
      </pivotArea>
    </format>
    <format dxfId="1129">
      <pivotArea dataOnly="0" labelOnly="1" outline="0" fieldPosition="0">
        <references count="4">
          <reference field="9" count="1" selected="0">
            <x v="5"/>
          </reference>
          <reference field="10" count="1" selected="0">
            <x v="59"/>
          </reference>
          <reference field="14" count="1">
            <x v="4"/>
          </reference>
          <reference field="18" count="1" selected="0">
            <x v="0"/>
          </reference>
        </references>
      </pivotArea>
    </format>
    <format dxfId="1128">
      <pivotArea dataOnly="0" labelOnly="1" outline="0" fieldPosition="0">
        <references count="4">
          <reference field="9" count="1" selected="0">
            <x v="5"/>
          </reference>
          <reference field="10" count="1" selected="0">
            <x v="59"/>
          </reference>
          <reference field="14" count="1">
            <x v="11"/>
          </reference>
          <reference field="18" count="1" selected="0">
            <x v="3"/>
          </reference>
        </references>
      </pivotArea>
    </format>
    <format dxfId="1127">
      <pivotArea dataOnly="0" labelOnly="1" outline="0" fieldPosition="0">
        <references count="4">
          <reference field="9" count="1" selected="0">
            <x v="5"/>
          </reference>
          <reference field="10" count="1" selected="0">
            <x v="59"/>
          </reference>
          <reference field="14" count="1">
            <x v="28"/>
          </reference>
          <reference field="18" count="1" selected="0">
            <x v="5"/>
          </reference>
        </references>
      </pivotArea>
    </format>
    <format dxfId="1126">
      <pivotArea dataOnly="0" labelOnly="1" outline="0" fieldPosition="0">
        <references count="4">
          <reference field="9" count="1" selected="0">
            <x v="5"/>
          </reference>
          <reference field="10" count="1" selected="0">
            <x v="59"/>
          </reference>
          <reference field="14" count="1">
            <x v="27"/>
          </reference>
          <reference field="18" count="1" selected="0">
            <x v="6"/>
          </reference>
        </references>
      </pivotArea>
    </format>
    <format dxfId="1125">
      <pivotArea dataOnly="0" labelOnly="1" outline="0" fieldPosition="0">
        <references count="4">
          <reference field="9" count="1" selected="0">
            <x v="5"/>
          </reference>
          <reference field="10" count="1" selected="0">
            <x v="59"/>
          </reference>
          <reference field="14" count="1">
            <x v="10"/>
          </reference>
          <reference field="18" count="1" selected="0">
            <x v="7"/>
          </reference>
        </references>
      </pivotArea>
    </format>
    <format dxfId="1124">
      <pivotArea dataOnly="0" labelOnly="1" outline="0" fieldPosition="0">
        <references count="4">
          <reference field="9" count="1" selected="0">
            <x v="5"/>
          </reference>
          <reference field="10" count="1" selected="0">
            <x v="59"/>
          </reference>
          <reference field="14" count="1">
            <x v="9"/>
          </reference>
          <reference field="18" count="1" selected="0">
            <x v="8"/>
          </reference>
        </references>
      </pivotArea>
    </format>
    <format dxfId="1123">
      <pivotArea dataOnly="0" labelOnly="1" outline="0" fieldPosition="0">
        <references count="4">
          <reference field="9" count="1" selected="0">
            <x v="5"/>
          </reference>
          <reference field="10" count="1" selected="0">
            <x v="59"/>
          </reference>
          <reference field="14" count="1">
            <x v="8"/>
          </reference>
          <reference field="18" count="1" selected="0">
            <x v="9"/>
          </reference>
        </references>
      </pivotArea>
    </format>
    <format dxfId="1122">
      <pivotArea dataOnly="0" labelOnly="1" outline="0" fieldPosition="0">
        <references count="4">
          <reference field="9" count="1" selected="0">
            <x v="5"/>
          </reference>
          <reference field="10" count="1" selected="0">
            <x v="59"/>
          </reference>
          <reference field="14" count="1">
            <x v="16"/>
          </reference>
          <reference field="18" count="1" selected="0">
            <x v="12"/>
          </reference>
        </references>
      </pivotArea>
    </format>
    <format dxfId="1121">
      <pivotArea dataOnly="0" labelOnly="1" outline="0" fieldPosition="0">
        <references count="4">
          <reference field="9" count="1" selected="0">
            <x v="5"/>
          </reference>
          <reference field="10" count="1" selected="0">
            <x v="59"/>
          </reference>
          <reference field="14" count="1">
            <x v="15"/>
          </reference>
          <reference field="18" count="1" selected="0">
            <x v="15"/>
          </reference>
        </references>
      </pivotArea>
    </format>
    <format dxfId="1120">
      <pivotArea dataOnly="0" labelOnly="1" outline="0" fieldPosition="0">
        <references count="4">
          <reference field="9" count="1" selected="0">
            <x v="5"/>
          </reference>
          <reference field="10" count="1" selected="0">
            <x v="59"/>
          </reference>
          <reference field="14" count="1">
            <x v="19"/>
          </reference>
          <reference field="18" count="1" selected="0">
            <x v="16"/>
          </reference>
        </references>
      </pivotArea>
    </format>
    <format dxfId="1119">
      <pivotArea dataOnly="0" labelOnly="1" outline="0" fieldPosition="0">
        <references count="4">
          <reference field="9" count="1" selected="0">
            <x v="5"/>
          </reference>
          <reference field="10" count="1" selected="0">
            <x v="59"/>
          </reference>
          <reference field="14" count="1">
            <x v="14"/>
          </reference>
          <reference field="18" count="1" selected="0">
            <x v="18"/>
          </reference>
        </references>
      </pivotArea>
    </format>
    <format dxfId="1118">
      <pivotArea dataOnly="0" labelOnly="1" outline="0" fieldPosition="0">
        <references count="4">
          <reference field="9" count="1" selected="0">
            <x v="5"/>
          </reference>
          <reference field="10" count="1" selected="0">
            <x v="59"/>
          </reference>
          <reference field="14" count="1">
            <x v="7"/>
          </reference>
          <reference field="18" count="1" selected="0">
            <x v="22"/>
          </reference>
        </references>
      </pivotArea>
    </format>
    <format dxfId="1117">
      <pivotArea dataOnly="0" labelOnly="1" outline="0" fieldPosition="0">
        <references count="4">
          <reference field="9" count="1" selected="0">
            <x v="5"/>
          </reference>
          <reference field="10" count="1" selected="0">
            <x v="59"/>
          </reference>
          <reference field="14" count="1">
            <x v="23"/>
          </reference>
          <reference field="18" count="1" selected="0">
            <x v="24"/>
          </reference>
        </references>
      </pivotArea>
    </format>
    <format dxfId="1116">
      <pivotArea dataOnly="0" labelOnly="1" outline="0" fieldPosition="0">
        <references count="4">
          <reference field="9" count="1" selected="0">
            <x v="5"/>
          </reference>
          <reference field="10" count="1" selected="0">
            <x v="59"/>
          </reference>
          <reference field="14" count="1">
            <x v="22"/>
          </reference>
          <reference field="18" count="1" selected="0">
            <x v="25"/>
          </reference>
        </references>
      </pivotArea>
    </format>
    <format dxfId="1115">
      <pivotArea dataOnly="0" labelOnly="1" outline="0" fieldPosition="0">
        <references count="4">
          <reference field="9" count="1" selected="0">
            <x v="5"/>
          </reference>
          <reference field="10" count="1" selected="0">
            <x v="59"/>
          </reference>
          <reference field="14" count="1">
            <x v="29"/>
          </reference>
          <reference field="18" count="1" selected="0">
            <x v="29"/>
          </reference>
        </references>
      </pivotArea>
    </format>
    <format dxfId="1114">
      <pivotArea dataOnly="0" labelOnly="1" outline="0" fieldPosition="0">
        <references count="4">
          <reference field="9" count="1" selected="0">
            <x v="5"/>
          </reference>
          <reference field="10" count="1" selected="0">
            <x v="59"/>
          </reference>
          <reference field="14" count="1">
            <x v="26"/>
          </reference>
          <reference field="18" count="1" selected="0">
            <x v="30"/>
          </reference>
        </references>
      </pivotArea>
    </format>
    <format dxfId="1113">
      <pivotArea dataOnly="0" labelOnly="1" outline="0" fieldPosition="0">
        <references count="4">
          <reference field="9" count="1" selected="0">
            <x v="6"/>
          </reference>
          <reference field="10" count="1" selected="0">
            <x v="53"/>
          </reference>
          <reference field="14" count="1">
            <x v="3"/>
          </reference>
          <reference field="18" count="1" selected="0">
            <x v="20"/>
          </reference>
        </references>
      </pivotArea>
    </format>
    <format dxfId="1112">
      <pivotArea dataOnly="0" labelOnly="1" outline="0" fieldPosition="0">
        <references count="4">
          <reference field="9" count="1" selected="0">
            <x v="7"/>
          </reference>
          <reference field="10" count="1" selected="0">
            <x v="60"/>
          </reference>
          <reference field="14" count="1">
            <x v="31"/>
          </reference>
          <reference field="18" count="1" selected="0">
            <x v="31"/>
          </reference>
        </references>
      </pivotArea>
    </format>
    <format dxfId="1111">
      <pivotArea dataOnly="0" labelOnly="1" outline="0" fieldPosition="0">
        <references count="4">
          <reference field="9" count="1" selected="0">
            <x v="8"/>
          </reference>
          <reference field="10" count="1" selected="0">
            <x v="61"/>
          </reference>
          <reference field="14" count="1">
            <x v="28"/>
          </reference>
          <reference field="18" count="1" selected="0">
            <x v="5"/>
          </reference>
        </references>
      </pivotArea>
    </format>
    <format dxfId="1110">
      <pivotArea dataOnly="0" labelOnly="1" outline="0" fieldPosition="0">
        <references count="4">
          <reference field="9" count="1" selected="0">
            <x v="8"/>
          </reference>
          <reference field="10" count="1" selected="0">
            <x v="61"/>
          </reference>
          <reference field="14" count="1">
            <x v="9"/>
          </reference>
          <reference field="18" count="1" selected="0">
            <x v="8"/>
          </reference>
        </references>
      </pivotArea>
    </format>
    <format dxfId="1109">
      <pivotArea dataOnly="0" labelOnly="1" outline="0" fieldPosition="0">
        <references count="4">
          <reference field="9" count="1" selected="0">
            <x v="8"/>
          </reference>
          <reference field="10" count="1" selected="0">
            <x v="61"/>
          </reference>
          <reference field="14" count="1">
            <x v="8"/>
          </reference>
          <reference field="18" count="1" selected="0">
            <x v="9"/>
          </reference>
        </references>
      </pivotArea>
    </format>
    <format dxfId="1108">
      <pivotArea dataOnly="0" labelOnly="1" outline="0" fieldPosition="0">
        <references count="4">
          <reference field="9" count="1" selected="0">
            <x v="8"/>
          </reference>
          <reference field="10" count="1" selected="0">
            <x v="61"/>
          </reference>
          <reference field="14" count="1">
            <x v="16"/>
          </reference>
          <reference field="18" count="1" selected="0">
            <x v="12"/>
          </reference>
        </references>
      </pivotArea>
    </format>
    <format dxfId="1107">
      <pivotArea dataOnly="0" labelOnly="1" outline="0" fieldPosition="0">
        <references count="4">
          <reference field="9" count="1" selected="0">
            <x v="8"/>
          </reference>
          <reference field="10" count="1" selected="0">
            <x v="61"/>
          </reference>
          <reference field="14" count="1">
            <x v="7"/>
          </reference>
          <reference field="18" count="1" selected="0">
            <x v="22"/>
          </reference>
        </references>
      </pivotArea>
    </format>
    <format dxfId="1106">
      <pivotArea dataOnly="0" labelOnly="1" outline="0" fieldPosition="0">
        <references count="4">
          <reference field="9" count="1" selected="0">
            <x v="8"/>
          </reference>
          <reference field="10" count="1" selected="0">
            <x v="61"/>
          </reference>
          <reference field="14" count="1">
            <x v="23"/>
          </reference>
          <reference field="18" count="1" selected="0">
            <x v="24"/>
          </reference>
        </references>
      </pivotArea>
    </format>
    <format dxfId="1105">
      <pivotArea dataOnly="0" labelOnly="1" outline="0" fieldPosition="0">
        <references count="4">
          <reference field="9" count="1" selected="0">
            <x v="8"/>
          </reference>
          <reference field="10" count="1" selected="0">
            <x v="61"/>
          </reference>
          <reference field="14" count="1">
            <x v="22"/>
          </reference>
          <reference field="18" count="1" selected="0">
            <x v="25"/>
          </reference>
        </references>
      </pivotArea>
    </format>
    <format dxfId="1104">
      <pivotArea dataOnly="0" labelOnly="1" outline="0" fieldPosition="0">
        <references count="4">
          <reference field="9" count="1" selected="0">
            <x v="8"/>
          </reference>
          <reference field="10" count="1" selected="0">
            <x v="61"/>
          </reference>
          <reference field="14" count="1">
            <x v="29"/>
          </reference>
          <reference field="18" count="1" selected="0">
            <x v="29"/>
          </reference>
        </references>
      </pivotArea>
    </format>
    <format dxfId="1103">
      <pivotArea dataOnly="0" labelOnly="1" outline="0" fieldPosition="0">
        <references count="4">
          <reference field="9" count="1" selected="0">
            <x v="8"/>
          </reference>
          <reference field="10" count="1" selected="0">
            <x v="61"/>
          </reference>
          <reference field="14" count="1">
            <x v="26"/>
          </reference>
          <reference field="18" count="1" selected="0">
            <x v="30"/>
          </reference>
        </references>
      </pivotArea>
    </format>
    <format dxfId="1102">
      <pivotArea dataOnly="0" labelOnly="1" outline="0" fieldPosition="0">
        <references count="4">
          <reference field="9" count="1" selected="0">
            <x v="8"/>
          </reference>
          <reference field="10" count="1" selected="0">
            <x v="61"/>
          </reference>
          <reference field="14" count="1">
            <x v="31"/>
          </reference>
          <reference field="18" count="1" selected="0">
            <x v="31"/>
          </reference>
        </references>
      </pivotArea>
    </format>
    <format dxfId="1101">
      <pivotArea dataOnly="0" labelOnly="1" outline="0" fieldPosition="0">
        <references count="4">
          <reference field="9" count="1" selected="0">
            <x v="9"/>
          </reference>
          <reference field="10" count="1" selected="0">
            <x v="62"/>
          </reference>
          <reference field="14" count="1">
            <x v="4"/>
          </reference>
          <reference field="18" count="1" selected="0">
            <x v="0"/>
          </reference>
        </references>
      </pivotArea>
    </format>
    <format dxfId="1100">
      <pivotArea dataOnly="0" labelOnly="1" outline="0" fieldPosition="0">
        <references count="4">
          <reference field="9" count="1" selected="0">
            <x v="9"/>
          </reference>
          <reference field="10" count="1" selected="0">
            <x v="62"/>
          </reference>
          <reference field="14" count="1">
            <x v="11"/>
          </reference>
          <reference field="18" count="1" selected="0">
            <x v="3"/>
          </reference>
        </references>
      </pivotArea>
    </format>
    <format dxfId="1099">
      <pivotArea dataOnly="0" labelOnly="1" outline="0" fieldPosition="0">
        <references count="4">
          <reference field="9" count="1" selected="0">
            <x v="9"/>
          </reference>
          <reference field="10" count="1" selected="0">
            <x v="62"/>
          </reference>
          <reference field="14" count="1">
            <x v="6"/>
          </reference>
          <reference field="18" count="1" selected="0">
            <x v="4"/>
          </reference>
        </references>
      </pivotArea>
    </format>
    <format dxfId="1098">
      <pivotArea dataOnly="0" labelOnly="1" outline="0" fieldPosition="0">
        <references count="4">
          <reference field="9" count="1" selected="0">
            <x v="9"/>
          </reference>
          <reference field="10" count="1" selected="0">
            <x v="62"/>
          </reference>
          <reference field="14" count="1">
            <x v="28"/>
          </reference>
          <reference field="18" count="1" selected="0">
            <x v="5"/>
          </reference>
        </references>
      </pivotArea>
    </format>
    <format dxfId="1097">
      <pivotArea dataOnly="0" labelOnly="1" outline="0" fieldPosition="0">
        <references count="4">
          <reference field="9" count="1" selected="0">
            <x v="9"/>
          </reference>
          <reference field="10" count="1" selected="0">
            <x v="62"/>
          </reference>
          <reference field="14" count="1">
            <x v="27"/>
          </reference>
          <reference field="18" count="1" selected="0">
            <x v="6"/>
          </reference>
        </references>
      </pivotArea>
    </format>
    <format dxfId="1096">
      <pivotArea dataOnly="0" labelOnly="1" outline="0" fieldPosition="0">
        <references count="4">
          <reference field="9" count="1" selected="0">
            <x v="9"/>
          </reference>
          <reference field="10" count="1" selected="0">
            <x v="62"/>
          </reference>
          <reference field="14" count="1">
            <x v="9"/>
          </reference>
          <reference field="18" count="1" selected="0">
            <x v="8"/>
          </reference>
        </references>
      </pivotArea>
    </format>
    <format dxfId="1095">
      <pivotArea dataOnly="0" labelOnly="1" outline="0" fieldPosition="0">
        <references count="4">
          <reference field="9" count="1" selected="0">
            <x v="9"/>
          </reference>
          <reference field="10" count="1" selected="0">
            <x v="62"/>
          </reference>
          <reference field="14" count="1">
            <x v="8"/>
          </reference>
          <reference field="18" count="1" selected="0">
            <x v="9"/>
          </reference>
        </references>
      </pivotArea>
    </format>
    <format dxfId="1094">
      <pivotArea dataOnly="0" labelOnly="1" outline="0" fieldPosition="0">
        <references count="4">
          <reference field="9" count="1" selected="0">
            <x v="9"/>
          </reference>
          <reference field="10" count="1" selected="0">
            <x v="62"/>
          </reference>
          <reference field="14" count="1">
            <x v="16"/>
          </reference>
          <reference field="18" count="1" selected="0">
            <x v="12"/>
          </reference>
        </references>
      </pivotArea>
    </format>
    <format dxfId="1093">
      <pivotArea dataOnly="0" labelOnly="1" outline="0" fieldPosition="0">
        <references count="4">
          <reference field="9" count="1" selected="0">
            <x v="9"/>
          </reference>
          <reference field="10" count="1" selected="0">
            <x v="62"/>
          </reference>
          <reference field="14" count="1">
            <x v="25"/>
          </reference>
          <reference field="18" count="1" selected="0">
            <x v="14"/>
          </reference>
        </references>
      </pivotArea>
    </format>
    <format dxfId="1092">
      <pivotArea dataOnly="0" labelOnly="1" outline="0" fieldPosition="0">
        <references count="4">
          <reference field="9" count="1" selected="0">
            <x v="9"/>
          </reference>
          <reference field="10" count="1" selected="0">
            <x v="62"/>
          </reference>
          <reference field="14" count="1">
            <x v="14"/>
          </reference>
          <reference field="18" count="1" selected="0">
            <x v="18"/>
          </reference>
        </references>
      </pivotArea>
    </format>
    <format dxfId="1091">
      <pivotArea dataOnly="0" labelOnly="1" outline="0" fieldPosition="0">
        <references count="4">
          <reference field="9" count="1" selected="0">
            <x v="9"/>
          </reference>
          <reference field="10" count="1" selected="0">
            <x v="62"/>
          </reference>
          <reference field="14" count="1">
            <x v="24"/>
          </reference>
          <reference field="18" count="1" selected="0">
            <x v="19"/>
          </reference>
        </references>
      </pivotArea>
    </format>
    <format dxfId="1090">
      <pivotArea dataOnly="0" labelOnly="1" outline="0" fieldPosition="0">
        <references count="4">
          <reference field="9" count="1" selected="0">
            <x v="9"/>
          </reference>
          <reference field="10" count="1" selected="0">
            <x v="62"/>
          </reference>
          <reference field="14" count="1">
            <x v="7"/>
          </reference>
          <reference field="18" count="1" selected="0">
            <x v="22"/>
          </reference>
        </references>
      </pivotArea>
    </format>
    <format dxfId="1089">
      <pivotArea dataOnly="0" labelOnly="1" outline="0" fieldPosition="0">
        <references count="4">
          <reference field="9" count="1" selected="0">
            <x v="9"/>
          </reference>
          <reference field="10" count="1" selected="0">
            <x v="62"/>
          </reference>
          <reference field="14" count="1">
            <x v="23"/>
          </reference>
          <reference field="18" count="1" selected="0">
            <x v="24"/>
          </reference>
        </references>
      </pivotArea>
    </format>
    <format dxfId="1088">
      <pivotArea dataOnly="0" labelOnly="1" outline="0" fieldPosition="0">
        <references count="4">
          <reference field="9" count="1" selected="0">
            <x v="9"/>
          </reference>
          <reference field="10" count="1" selected="0">
            <x v="62"/>
          </reference>
          <reference field="14" count="1">
            <x v="22"/>
          </reference>
          <reference field="18" count="1" selected="0">
            <x v="25"/>
          </reference>
        </references>
      </pivotArea>
    </format>
    <format dxfId="1087">
      <pivotArea dataOnly="0" labelOnly="1" outline="0" fieldPosition="0">
        <references count="4">
          <reference field="9" count="1" selected="0">
            <x v="9"/>
          </reference>
          <reference field="10" count="1" selected="0">
            <x v="62"/>
          </reference>
          <reference field="14" count="1">
            <x v="29"/>
          </reference>
          <reference field="18" count="1" selected="0">
            <x v="29"/>
          </reference>
        </references>
      </pivotArea>
    </format>
    <format dxfId="1086">
      <pivotArea dataOnly="0" labelOnly="1" outline="0" fieldPosition="0">
        <references count="4">
          <reference field="9" count="1" selected="0">
            <x v="9"/>
          </reference>
          <reference field="10" count="1" selected="0">
            <x v="62"/>
          </reference>
          <reference field="14" count="1">
            <x v="26"/>
          </reference>
          <reference field="18" count="1" selected="0">
            <x v="30"/>
          </reference>
        </references>
      </pivotArea>
    </format>
    <format dxfId="1085">
      <pivotArea dataOnly="0" labelOnly="1" outline="0" fieldPosition="0">
        <references count="4">
          <reference field="9" count="1" selected="0">
            <x v="9"/>
          </reference>
          <reference field="10" count="1" selected="0">
            <x v="62"/>
          </reference>
          <reference field="14" count="1">
            <x v="31"/>
          </reference>
          <reference field="18" count="1" selected="0">
            <x v="31"/>
          </reference>
        </references>
      </pivotArea>
    </format>
    <format dxfId="1084">
      <pivotArea dataOnly="0" labelOnly="1" outline="0" fieldPosition="0">
        <references count="4">
          <reference field="9" count="1" selected="0">
            <x v="10"/>
          </reference>
          <reference field="10" count="1" selected="0">
            <x v="10"/>
          </reference>
          <reference field="14" count="1">
            <x v="1"/>
          </reference>
          <reference field="18" count="1" selected="0">
            <x v="1"/>
          </reference>
        </references>
      </pivotArea>
    </format>
    <format dxfId="1083">
      <pivotArea dataOnly="0" labelOnly="1" outline="0" fieldPosition="0">
        <references count="4">
          <reference field="9" count="1" selected="0">
            <x v="10"/>
          </reference>
          <reference field="10" count="1" selected="0">
            <x v="10"/>
          </reference>
          <reference field="14" count="1">
            <x v="11"/>
          </reference>
          <reference field="18" count="1" selected="0">
            <x v="3"/>
          </reference>
        </references>
      </pivotArea>
    </format>
    <format dxfId="1082">
      <pivotArea dataOnly="0" labelOnly="1" outline="0" fieldPosition="0">
        <references count="4">
          <reference field="9" count="1" selected="0">
            <x v="10"/>
          </reference>
          <reference field="10" count="1" selected="0">
            <x v="10"/>
          </reference>
          <reference field="14" count="1">
            <x v="10"/>
          </reference>
          <reference field="18" count="1" selected="0">
            <x v="7"/>
          </reference>
        </references>
      </pivotArea>
    </format>
    <format dxfId="1081">
      <pivotArea dataOnly="0" labelOnly="1" outline="0" fieldPosition="0">
        <references count="4">
          <reference field="9" count="1" selected="0">
            <x v="10"/>
          </reference>
          <reference field="10" count="1" selected="0">
            <x v="10"/>
          </reference>
          <reference field="14" count="1">
            <x v="17"/>
          </reference>
          <reference field="18" count="1" selected="0">
            <x v="11"/>
          </reference>
        </references>
      </pivotArea>
    </format>
    <format dxfId="1080">
      <pivotArea dataOnly="0" labelOnly="1" outline="0" fieldPosition="0">
        <references count="4">
          <reference field="9" count="1" selected="0">
            <x v="10"/>
          </reference>
          <reference field="10" count="1" selected="0">
            <x v="10"/>
          </reference>
          <reference field="14" count="1">
            <x v="16"/>
          </reference>
          <reference field="18" count="1" selected="0">
            <x v="12"/>
          </reference>
        </references>
      </pivotArea>
    </format>
    <format dxfId="1079">
      <pivotArea dataOnly="0" labelOnly="1" outline="0" fieldPosition="0">
        <references count="4">
          <reference field="9" count="1" selected="0">
            <x v="10"/>
          </reference>
          <reference field="10" count="1" selected="0">
            <x v="10"/>
          </reference>
          <reference field="14" count="1">
            <x v="25"/>
          </reference>
          <reference field="18" count="1" selected="0">
            <x v="14"/>
          </reference>
        </references>
      </pivotArea>
    </format>
    <format dxfId="1078">
      <pivotArea dataOnly="0" labelOnly="1" outline="0" fieldPosition="0">
        <references count="4">
          <reference field="9" count="1" selected="0">
            <x v="10"/>
          </reference>
          <reference field="10" count="1" selected="0">
            <x v="10"/>
          </reference>
          <reference field="14" count="1">
            <x v="15"/>
          </reference>
          <reference field="18" count="1" selected="0">
            <x v="15"/>
          </reference>
        </references>
      </pivotArea>
    </format>
    <format dxfId="1077">
      <pivotArea dataOnly="0" labelOnly="1" outline="0" fieldPosition="0">
        <references count="4">
          <reference field="9" count="1" selected="0">
            <x v="10"/>
          </reference>
          <reference field="10" count="1" selected="0">
            <x v="10"/>
          </reference>
          <reference field="14" count="1">
            <x v="12"/>
          </reference>
          <reference field="18" count="1" selected="0">
            <x v="21"/>
          </reference>
        </references>
      </pivotArea>
    </format>
    <format dxfId="1076">
      <pivotArea dataOnly="0" labelOnly="1" outline="0" fieldPosition="0">
        <references count="4">
          <reference field="9" count="1" selected="0">
            <x v="10"/>
          </reference>
          <reference field="10" count="1" selected="0">
            <x v="10"/>
          </reference>
          <reference field="14" count="1">
            <x v="7"/>
          </reference>
          <reference field="18" count="1" selected="0">
            <x v="22"/>
          </reference>
        </references>
      </pivotArea>
    </format>
    <format dxfId="1075">
      <pivotArea dataOnly="0" labelOnly="1" outline="0" fieldPosition="0">
        <references count="4">
          <reference field="9" count="1" selected="0">
            <x v="10"/>
          </reference>
          <reference field="10" count="1" selected="0">
            <x v="10"/>
          </reference>
          <reference field="14" count="1">
            <x v="5"/>
          </reference>
          <reference field="18" count="1" selected="0">
            <x v="28"/>
          </reference>
        </references>
      </pivotArea>
    </format>
    <format dxfId="1074">
      <pivotArea dataOnly="0" labelOnly="1" outline="0" fieldPosition="0">
        <references count="4">
          <reference field="9" count="1" selected="0">
            <x v="10"/>
          </reference>
          <reference field="10" count="1" selected="0">
            <x v="10"/>
          </reference>
          <reference field="14" count="1">
            <x v="29"/>
          </reference>
          <reference field="18" count="1" selected="0">
            <x v="29"/>
          </reference>
        </references>
      </pivotArea>
    </format>
    <format dxfId="1073">
      <pivotArea dataOnly="0" labelOnly="1" outline="0" fieldPosition="0">
        <references count="4">
          <reference field="9" count="1" selected="0">
            <x v="11"/>
          </reference>
          <reference field="10" count="1" selected="0">
            <x v="14"/>
          </reference>
          <reference field="14" count="1">
            <x v="11"/>
          </reference>
          <reference field="18" count="1" selected="0">
            <x v="3"/>
          </reference>
        </references>
      </pivotArea>
    </format>
    <format dxfId="1072">
      <pivotArea dataOnly="0" labelOnly="1" outline="0" fieldPosition="0">
        <references count="4">
          <reference field="9" count="1" selected="0">
            <x v="12"/>
          </reference>
          <reference field="10" count="1" selected="0">
            <x v="18"/>
          </reference>
          <reference field="14" count="1">
            <x v="4"/>
          </reference>
          <reference field="18" count="1" selected="0">
            <x v="0"/>
          </reference>
        </references>
      </pivotArea>
    </format>
    <format dxfId="1071">
      <pivotArea dataOnly="0" labelOnly="1" outline="0" fieldPosition="0">
        <references count="4">
          <reference field="9" count="1" selected="0">
            <x v="12"/>
          </reference>
          <reference field="10" count="1" selected="0">
            <x v="18"/>
          </reference>
          <reference field="14" count="1">
            <x v="1"/>
          </reference>
          <reference field="18" count="1" selected="0">
            <x v="1"/>
          </reference>
        </references>
      </pivotArea>
    </format>
    <format dxfId="1070">
      <pivotArea dataOnly="0" labelOnly="1" outline="0" fieldPosition="0">
        <references count="4">
          <reference field="9" count="1" selected="0">
            <x v="12"/>
          </reference>
          <reference field="10" count="1" selected="0">
            <x v="18"/>
          </reference>
          <reference field="14" count="1">
            <x v="11"/>
          </reference>
          <reference field="18" count="1" selected="0">
            <x v="3"/>
          </reference>
        </references>
      </pivotArea>
    </format>
    <format dxfId="1069">
      <pivotArea dataOnly="0" labelOnly="1" outline="0" fieldPosition="0">
        <references count="4">
          <reference field="9" count="1" selected="0">
            <x v="12"/>
          </reference>
          <reference field="10" count="1" selected="0">
            <x v="18"/>
          </reference>
          <reference field="14" count="1">
            <x v="10"/>
          </reference>
          <reference field="18" count="1" selected="0">
            <x v="7"/>
          </reference>
        </references>
      </pivotArea>
    </format>
    <format dxfId="1068">
      <pivotArea dataOnly="0" labelOnly="1" outline="0" fieldPosition="0">
        <references count="4">
          <reference field="9" count="1" selected="0">
            <x v="12"/>
          </reference>
          <reference field="10" count="1" selected="0">
            <x v="18"/>
          </reference>
          <reference field="14" count="1">
            <x v="9"/>
          </reference>
          <reference field="18" count="1" selected="0">
            <x v="8"/>
          </reference>
        </references>
      </pivotArea>
    </format>
    <format dxfId="1067">
      <pivotArea dataOnly="0" labelOnly="1" outline="0" fieldPosition="0">
        <references count="4">
          <reference field="9" count="1" selected="0">
            <x v="12"/>
          </reference>
          <reference field="10" count="1" selected="0">
            <x v="18"/>
          </reference>
          <reference field="14" count="1">
            <x v="8"/>
          </reference>
          <reference field="18" count="1" selected="0">
            <x v="9"/>
          </reference>
        </references>
      </pivotArea>
    </format>
    <format dxfId="1066">
      <pivotArea dataOnly="0" labelOnly="1" outline="0" fieldPosition="0">
        <references count="4">
          <reference field="9" count="1" selected="0">
            <x v="12"/>
          </reference>
          <reference field="10" count="1" selected="0">
            <x v="18"/>
          </reference>
          <reference field="14" count="1">
            <x v="17"/>
          </reference>
          <reference field="18" count="1" selected="0">
            <x v="11"/>
          </reference>
        </references>
      </pivotArea>
    </format>
    <format dxfId="1065">
      <pivotArea dataOnly="0" labelOnly="1" outline="0" fieldPosition="0">
        <references count="4">
          <reference field="9" count="1" selected="0">
            <x v="12"/>
          </reference>
          <reference field="10" count="1" selected="0">
            <x v="18"/>
          </reference>
          <reference field="14" count="1">
            <x v="16"/>
          </reference>
          <reference field="18" count="1" selected="0">
            <x v="12"/>
          </reference>
        </references>
      </pivotArea>
    </format>
    <format dxfId="1064">
      <pivotArea dataOnly="0" labelOnly="1" outline="0" fieldPosition="0">
        <references count="4">
          <reference field="9" count="1" selected="0">
            <x v="12"/>
          </reference>
          <reference field="10" count="1" selected="0">
            <x v="18"/>
          </reference>
          <reference field="14" count="1">
            <x v="18"/>
          </reference>
          <reference field="18" count="1" selected="0">
            <x v="13"/>
          </reference>
        </references>
      </pivotArea>
    </format>
    <format dxfId="1063">
      <pivotArea dataOnly="0" labelOnly="1" outline="0" fieldPosition="0">
        <references count="4">
          <reference field="9" count="1" selected="0">
            <x v="12"/>
          </reference>
          <reference field="10" count="1" selected="0">
            <x v="18"/>
          </reference>
          <reference field="14" count="1">
            <x v="25"/>
          </reference>
          <reference field="18" count="1" selected="0">
            <x v="14"/>
          </reference>
        </references>
      </pivotArea>
    </format>
    <format dxfId="1062">
      <pivotArea dataOnly="0" labelOnly="1" outline="0" fieldPosition="0">
        <references count="4">
          <reference field="9" count="1" selected="0">
            <x v="12"/>
          </reference>
          <reference field="10" count="1" selected="0">
            <x v="18"/>
          </reference>
          <reference field="14" count="1">
            <x v="15"/>
          </reference>
          <reference field="18" count="1" selected="0">
            <x v="15"/>
          </reference>
        </references>
      </pivotArea>
    </format>
    <format dxfId="1061">
      <pivotArea dataOnly="0" labelOnly="1" outline="0" fieldPosition="0">
        <references count="4">
          <reference field="9" count="1" selected="0">
            <x v="12"/>
          </reference>
          <reference field="10" count="1" selected="0">
            <x v="18"/>
          </reference>
          <reference field="14" count="1">
            <x v="19"/>
          </reference>
          <reference field="18" count="1" selected="0">
            <x v="16"/>
          </reference>
        </references>
      </pivotArea>
    </format>
    <format dxfId="1060">
      <pivotArea dataOnly="0" labelOnly="1" outline="0" fieldPosition="0">
        <references count="4">
          <reference field="9" count="1" selected="0">
            <x v="12"/>
          </reference>
          <reference field="10" count="1" selected="0">
            <x v="18"/>
          </reference>
          <reference field="14" count="1">
            <x v="14"/>
          </reference>
          <reference field="18" count="1" selected="0">
            <x v="18"/>
          </reference>
        </references>
      </pivotArea>
    </format>
    <format dxfId="1059">
      <pivotArea dataOnly="0" labelOnly="1" outline="0" fieldPosition="0">
        <references count="4">
          <reference field="9" count="1" selected="0">
            <x v="12"/>
          </reference>
          <reference field="10" count="1" selected="0">
            <x v="18"/>
          </reference>
          <reference field="14" count="1">
            <x v="7"/>
          </reference>
          <reference field="18" count="1" selected="0">
            <x v="22"/>
          </reference>
        </references>
      </pivotArea>
    </format>
    <format dxfId="1058">
      <pivotArea dataOnly="0" labelOnly="1" outline="0" fieldPosition="0">
        <references count="4">
          <reference field="9" count="1" selected="0">
            <x v="12"/>
          </reference>
          <reference field="10" count="1" selected="0">
            <x v="18"/>
          </reference>
          <reference field="14" count="1">
            <x v="21"/>
          </reference>
          <reference field="18" count="1" selected="0">
            <x v="27"/>
          </reference>
        </references>
      </pivotArea>
    </format>
    <format dxfId="1057">
      <pivotArea dataOnly="0" labelOnly="1" outline="0" fieldPosition="0">
        <references count="4">
          <reference field="9" count="1" selected="0">
            <x v="12"/>
          </reference>
          <reference field="10" count="1" selected="0">
            <x v="18"/>
          </reference>
          <reference field="14" count="1">
            <x v="5"/>
          </reference>
          <reference field="18" count="1" selected="0">
            <x v="28"/>
          </reference>
        </references>
      </pivotArea>
    </format>
    <format dxfId="1056">
      <pivotArea dataOnly="0" labelOnly="1" outline="0" fieldPosition="0">
        <references count="4">
          <reference field="9" count="1" selected="0">
            <x v="12"/>
          </reference>
          <reference field="10" count="1" selected="0">
            <x v="18"/>
          </reference>
          <reference field="14" count="1">
            <x v="29"/>
          </reference>
          <reference field="18" count="1" selected="0">
            <x v="29"/>
          </reference>
        </references>
      </pivotArea>
    </format>
    <format dxfId="1055">
      <pivotArea dataOnly="0" labelOnly="1" outline="0" fieldPosition="0">
        <references count="4">
          <reference field="9" count="1" selected="0">
            <x v="12"/>
          </reference>
          <reference field="10" count="1" selected="0">
            <x v="18"/>
          </reference>
          <reference field="14" count="1">
            <x v="26"/>
          </reference>
          <reference field="18" count="1" selected="0">
            <x v="30"/>
          </reference>
        </references>
      </pivotArea>
    </format>
    <format dxfId="1054">
      <pivotArea dataOnly="0" labelOnly="1" outline="0" fieldPosition="0">
        <references count="4">
          <reference field="9" count="1" selected="0">
            <x v="13"/>
          </reference>
          <reference field="10" count="1" selected="0">
            <x v="22"/>
          </reference>
          <reference field="14" count="1">
            <x v="27"/>
          </reference>
          <reference field="18" count="1" selected="0">
            <x v="6"/>
          </reference>
        </references>
      </pivotArea>
    </format>
    <format dxfId="1053">
      <pivotArea dataOnly="0" labelOnly="1" outline="0" fieldPosition="0">
        <references count="4">
          <reference field="9" count="1" selected="0">
            <x v="14"/>
          </reference>
          <reference field="10" count="1" selected="0">
            <x v="26"/>
          </reference>
          <reference field="14" count="1">
            <x v="19"/>
          </reference>
          <reference field="18" count="1" selected="0">
            <x v="16"/>
          </reference>
        </references>
      </pivotArea>
    </format>
    <format dxfId="1052">
      <pivotArea dataOnly="0" labelOnly="1" outline="0" fieldPosition="0">
        <references count="4">
          <reference field="9" count="1" selected="0">
            <x v="14"/>
          </reference>
          <reference field="10" count="1" selected="0">
            <x v="26"/>
          </reference>
          <reference field="14" count="1">
            <x v="26"/>
          </reference>
          <reference field="18" count="1" selected="0">
            <x v="30"/>
          </reference>
        </references>
      </pivotArea>
    </format>
    <format dxfId="1051">
      <pivotArea dataOnly="0" labelOnly="1" outline="0" fieldPosition="0">
        <references count="4">
          <reference field="9" count="1" selected="0">
            <x v="15"/>
          </reference>
          <reference field="10" count="1" selected="0">
            <x v="30"/>
          </reference>
          <reference field="14" count="1">
            <x v="1"/>
          </reference>
          <reference field="18" count="1" selected="0">
            <x v="1"/>
          </reference>
        </references>
      </pivotArea>
    </format>
    <format dxfId="1050">
      <pivotArea dataOnly="0" labelOnly="1" outline="0" fieldPosition="0">
        <references count="4">
          <reference field="9" count="1" selected="0">
            <x v="15"/>
          </reference>
          <reference field="10" count="1" selected="0">
            <x v="30"/>
          </reference>
          <reference field="14" count="1">
            <x v="11"/>
          </reference>
          <reference field="18" count="1" selected="0">
            <x v="3"/>
          </reference>
        </references>
      </pivotArea>
    </format>
    <format dxfId="1049">
      <pivotArea dataOnly="0" labelOnly="1" outline="0" fieldPosition="0">
        <references count="4">
          <reference field="9" count="1" selected="0">
            <x v="15"/>
          </reference>
          <reference field="10" count="1" selected="0">
            <x v="30"/>
          </reference>
          <reference field="14" count="1">
            <x v="28"/>
          </reference>
          <reference field="18" count="1" selected="0">
            <x v="5"/>
          </reference>
        </references>
      </pivotArea>
    </format>
    <format dxfId="1048">
      <pivotArea dataOnly="0" labelOnly="1" outline="0" fieldPosition="0">
        <references count="4">
          <reference field="9" count="1" selected="0">
            <x v="15"/>
          </reference>
          <reference field="10" count="1" selected="0">
            <x v="30"/>
          </reference>
          <reference field="14" count="1">
            <x v="10"/>
          </reference>
          <reference field="18" count="1" selected="0">
            <x v="7"/>
          </reference>
        </references>
      </pivotArea>
    </format>
    <format dxfId="1047">
      <pivotArea dataOnly="0" labelOnly="1" outline="0" fieldPosition="0">
        <references count="4">
          <reference field="9" count="1" selected="0">
            <x v="15"/>
          </reference>
          <reference field="10" count="1" selected="0">
            <x v="30"/>
          </reference>
          <reference field="14" count="1">
            <x v="16"/>
          </reference>
          <reference field="18" count="1" selected="0">
            <x v="12"/>
          </reference>
        </references>
      </pivotArea>
    </format>
    <format dxfId="1046">
      <pivotArea dataOnly="0" labelOnly="1" outline="0" fieldPosition="0">
        <references count="4">
          <reference field="9" count="1" selected="0">
            <x v="15"/>
          </reference>
          <reference field="10" count="1" selected="0">
            <x v="30"/>
          </reference>
          <reference field="14" count="1">
            <x v="25"/>
          </reference>
          <reference field="18" count="1" selected="0">
            <x v="14"/>
          </reference>
        </references>
      </pivotArea>
    </format>
    <format dxfId="1045">
      <pivotArea dataOnly="0" labelOnly="1" outline="0" fieldPosition="0">
        <references count="4">
          <reference field="9" count="1" selected="0">
            <x v="15"/>
          </reference>
          <reference field="10" count="1" selected="0">
            <x v="30"/>
          </reference>
          <reference field="14" count="1">
            <x v="15"/>
          </reference>
          <reference field="18" count="1" selected="0">
            <x v="15"/>
          </reference>
        </references>
      </pivotArea>
    </format>
    <format dxfId="1044">
      <pivotArea dataOnly="0" labelOnly="1" outline="0" fieldPosition="0">
        <references count="4">
          <reference field="9" count="1" selected="0">
            <x v="15"/>
          </reference>
          <reference field="10" count="1" selected="0">
            <x v="30"/>
          </reference>
          <reference field="14" count="1">
            <x v="19"/>
          </reference>
          <reference field="18" count="1" selected="0">
            <x v="16"/>
          </reference>
        </references>
      </pivotArea>
    </format>
    <format dxfId="1043">
      <pivotArea dataOnly="0" labelOnly="1" outline="0" fieldPosition="0">
        <references count="4">
          <reference field="9" count="1" selected="0">
            <x v="15"/>
          </reference>
          <reference field="10" count="1" selected="0">
            <x v="30"/>
          </reference>
          <reference field="14" count="1">
            <x v="7"/>
          </reference>
          <reference field="18" count="1" selected="0">
            <x v="22"/>
          </reference>
        </references>
      </pivotArea>
    </format>
    <format dxfId="1042">
      <pivotArea dataOnly="0" labelOnly="1" outline="0" fieldPosition="0">
        <references count="4">
          <reference field="9" count="1" selected="0">
            <x v="15"/>
          </reference>
          <reference field="10" count="1" selected="0">
            <x v="30"/>
          </reference>
          <reference field="14" count="1">
            <x v="5"/>
          </reference>
          <reference field="18" count="1" selected="0">
            <x v="28"/>
          </reference>
        </references>
      </pivotArea>
    </format>
    <format dxfId="1041">
      <pivotArea dataOnly="0" labelOnly="1" outline="0" fieldPosition="0">
        <references count="4">
          <reference field="9" count="1" selected="0">
            <x v="15"/>
          </reference>
          <reference field="10" count="1" selected="0">
            <x v="30"/>
          </reference>
          <reference field="14" count="1">
            <x v="29"/>
          </reference>
          <reference field="18" count="1" selected="0">
            <x v="29"/>
          </reference>
        </references>
      </pivotArea>
    </format>
    <format dxfId="1040">
      <pivotArea dataOnly="0" labelOnly="1" outline="0" fieldPosition="0">
        <references count="4">
          <reference field="9" count="1" selected="0">
            <x v="16"/>
          </reference>
          <reference field="10" count="1" selected="0">
            <x v="34"/>
          </reference>
          <reference field="14" count="1">
            <x v="7"/>
          </reference>
          <reference field="18" count="1" selected="0">
            <x v="22"/>
          </reference>
        </references>
      </pivotArea>
    </format>
    <format dxfId="1039">
      <pivotArea dataOnly="0" labelOnly="1" outline="0" fieldPosition="0">
        <references count="4">
          <reference field="9" count="1" selected="0">
            <x v="17"/>
          </reference>
          <reference field="10" count="1" selected="0">
            <x v="38"/>
          </reference>
          <reference field="14" count="1">
            <x v="17"/>
          </reference>
          <reference field="18" count="1" selected="0">
            <x v="11"/>
          </reference>
        </references>
      </pivotArea>
    </format>
    <format dxfId="1038">
      <pivotArea dataOnly="0" labelOnly="1" outline="0" fieldPosition="0">
        <references count="4">
          <reference field="9" count="1" selected="0">
            <x v="17"/>
          </reference>
          <reference field="10" count="1" selected="0">
            <x v="38"/>
          </reference>
          <reference field="14" count="1">
            <x v="18"/>
          </reference>
          <reference field="18" count="1" selected="0">
            <x v="13"/>
          </reference>
        </references>
      </pivotArea>
    </format>
    <format dxfId="1037">
      <pivotArea dataOnly="0" labelOnly="1" outline="0" fieldPosition="0">
        <references count="4">
          <reference field="9" count="1" selected="0">
            <x v="17"/>
          </reference>
          <reference field="10" count="1" selected="0">
            <x v="38"/>
          </reference>
          <reference field="14" count="1">
            <x v="29"/>
          </reference>
          <reference field="18" count="1" selected="0">
            <x v="29"/>
          </reference>
        </references>
      </pivotArea>
    </format>
    <format dxfId="1036">
      <pivotArea dataOnly="0" labelOnly="1" outline="0" fieldPosition="0">
        <references count="4">
          <reference field="9" count="1" selected="0">
            <x v="18"/>
          </reference>
          <reference field="10" count="1" selected="0">
            <x v="42"/>
          </reference>
          <reference field="14" count="1">
            <x v="1"/>
          </reference>
          <reference field="18" count="1" selected="0">
            <x v="1"/>
          </reference>
        </references>
      </pivotArea>
    </format>
    <format dxfId="1035">
      <pivotArea dataOnly="0" labelOnly="1" outline="0" fieldPosition="0">
        <references count="4">
          <reference field="9" count="1" selected="0">
            <x v="18"/>
          </reference>
          <reference field="10" count="1" selected="0">
            <x v="42"/>
          </reference>
          <reference field="14" count="1">
            <x v="11"/>
          </reference>
          <reference field="18" count="1" selected="0">
            <x v="3"/>
          </reference>
        </references>
      </pivotArea>
    </format>
    <format dxfId="1034">
      <pivotArea dataOnly="0" labelOnly="1" outline="0" fieldPosition="0">
        <references count="4">
          <reference field="9" count="1" selected="0">
            <x v="18"/>
          </reference>
          <reference field="10" count="1" selected="0">
            <x v="42"/>
          </reference>
          <reference field="14" count="1">
            <x v="28"/>
          </reference>
          <reference field="18" count="1" selected="0">
            <x v="5"/>
          </reference>
        </references>
      </pivotArea>
    </format>
    <format dxfId="1033">
      <pivotArea dataOnly="0" labelOnly="1" outline="0" fieldPosition="0">
        <references count="4">
          <reference field="9" count="1" selected="0">
            <x v="18"/>
          </reference>
          <reference field="10" count="1" selected="0">
            <x v="42"/>
          </reference>
          <reference field="14" count="1">
            <x v="10"/>
          </reference>
          <reference field="18" count="1" selected="0">
            <x v="7"/>
          </reference>
        </references>
      </pivotArea>
    </format>
    <format dxfId="1032">
      <pivotArea dataOnly="0" labelOnly="1" outline="0" fieldPosition="0">
        <references count="4">
          <reference field="9" count="1" selected="0">
            <x v="18"/>
          </reference>
          <reference field="10" count="1" selected="0">
            <x v="42"/>
          </reference>
          <reference field="14" count="1">
            <x v="9"/>
          </reference>
          <reference field="18" count="1" selected="0">
            <x v="8"/>
          </reference>
        </references>
      </pivotArea>
    </format>
    <format dxfId="1031">
      <pivotArea dataOnly="0" labelOnly="1" outline="0" fieldPosition="0">
        <references count="4">
          <reference field="9" count="1" selected="0">
            <x v="18"/>
          </reference>
          <reference field="10" count="1" selected="0">
            <x v="42"/>
          </reference>
          <reference field="14" count="1">
            <x v="8"/>
          </reference>
          <reference field="18" count="1" selected="0">
            <x v="9"/>
          </reference>
        </references>
      </pivotArea>
    </format>
    <format dxfId="1030">
      <pivotArea dataOnly="0" labelOnly="1" outline="0" fieldPosition="0">
        <references count="4">
          <reference field="9" count="1" selected="0">
            <x v="18"/>
          </reference>
          <reference field="10" count="1" selected="0">
            <x v="42"/>
          </reference>
          <reference field="14" count="1">
            <x v="16"/>
          </reference>
          <reference field="18" count="1" selected="0">
            <x v="12"/>
          </reference>
        </references>
      </pivotArea>
    </format>
    <format dxfId="1029">
      <pivotArea dataOnly="0" labelOnly="1" outline="0" fieldPosition="0">
        <references count="4">
          <reference field="9" count="1" selected="0">
            <x v="18"/>
          </reference>
          <reference field="10" count="1" selected="0">
            <x v="42"/>
          </reference>
          <reference field="14" count="1">
            <x v="25"/>
          </reference>
          <reference field="18" count="1" selected="0">
            <x v="14"/>
          </reference>
        </references>
      </pivotArea>
    </format>
    <format dxfId="1028">
      <pivotArea dataOnly="0" labelOnly="1" outline="0" fieldPosition="0">
        <references count="4">
          <reference field="9" count="1" selected="0">
            <x v="18"/>
          </reference>
          <reference field="10" count="1" selected="0">
            <x v="42"/>
          </reference>
          <reference field="14" count="1">
            <x v="15"/>
          </reference>
          <reference field="18" count="1" selected="0">
            <x v="15"/>
          </reference>
        </references>
      </pivotArea>
    </format>
    <format dxfId="1027">
      <pivotArea dataOnly="0" labelOnly="1" outline="0" fieldPosition="0">
        <references count="4">
          <reference field="9" count="1" selected="0">
            <x v="18"/>
          </reference>
          <reference field="10" count="1" selected="0">
            <x v="42"/>
          </reference>
          <reference field="14" count="1">
            <x v="5"/>
          </reference>
          <reference field="18" count="1" selected="0">
            <x v="28"/>
          </reference>
        </references>
      </pivotArea>
    </format>
    <format dxfId="1026">
      <pivotArea dataOnly="0" labelOnly="1" outline="0" fieldPosition="0">
        <references count="4">
          <reference field="9" count="1" selected="0">
            <x v="19"/>
          </reference>
          <reference field="10" count="1" selected="0">
            <x v="46"/>
          </reference>
          <reference field="14" count="1">
            <x v="27"/>
          </reference>
          <reference field="18" count="1" selected="0">
            <x v="6"/>
          </reference>
        </references>
      </pivotArea>
    </format>
    <format dxfId="1025">
      <pivotArea dataOnly="0" labelOnly="1" outline="0" fieldPosition="0">
        <references count="4">
          <reference field="9" count="1" selected="0">
            <x v="19"/>
          </reference>
          <reference field="10" count="1" selected="0">
            <x v="46"/>
          </reference>
          <reference field="14" count="1">
            <x v="7"/>
          </reference>
          <reference field="18" count="1" selected="0">
            <x v="22"/>
          </reference>
        </references>
      </pivotArea>
    </format>
    <format dxfId="1024">
      <pivotArea dataOnly="0" labelOnly="1" outline="0" fieldPosition="0">
        <references count="4">
          <reference field="9" count="1" selected="0">
            <x v="20"/>
          </reference>
          <reference field="10" count="1" selected="0">
            <x v="50"/>
          </reference>
          <reference field="14" count="1">
            <x v="27"/>
          </reference>
          <reference field="18" count="1" selected="0">
            <x v="6"/>
          </reference>
        </references>
      </pivotArea>
    </format>
    <format dxfId="1023">
      <pivotArea dataOnly="0" labelOnly="1" outline="0" fieldPosition="0">
        <references count="4">
          <reference field="9" count="1" selected="0">
            <x v="21"/>
          </reference>
          <reference field="10" count="1" selected="0">
            <x v="11"/>
          </reference>
          <reference field="14" count="1">
            <x v="4"/>
          </reference>
          <reference field="18" count="1" selected="0">
            <x v="0"/>
          </reference>
        </references>
      </pivotArea>
    </format>
    <format dxfId="1022">
      <pivotArea dataOnly="0" labelOnly="1" outline="0" fieldPosition="0">
        <references count="4">
          <reference field="9" count="1" selected="0">
            <x v="21"/>
          </reference>
          <reference field="10" count="1" selected="0">
            <x v="11"/>
          </reference>
          <reference field="14" count="1">
            <x v="1"/>
          </reference>
          <reference field="18" count="1" selected="0">
            <x v="1"/>
          </reference>
        </references>
      </pivotArea>
    </format>
    <format dxfId="1021">
      <pivotArea dataOnly="0" labelOnly="1" outline="0" fieldPosition="0">
        <references count="4">
          <reference field="9" count="1" selected="0">
            <x v="21"/>
          </reference>
          <reference field="10" count="1" selected="0">
            <x v="11"/>
          </reference>
          <reference field="14" count="1">
            <x v="11"/>
          </reference>
          <reference field="18" count="1" selected="0">
            <x v="3"/>
          </reference>
        </references>
      </pivotArea>
    </format>
    <format dxfId="1020">
      <pivotArea dataOnly="0" labelOnly="1" outline="0" fieldPosition="0">
        <references count="4">
          <reference field="9" count="1" selected="0">
            <x v="21"/>
          </reference>
          <reference field="10" count="1" selected="0">
            <x v="11"/>
          </reference>
          <reference field="14" count="1">
            <x v="10"/>
          </reference>
          <reference field="18" count="1" selected="0">
            <x v="7"/>
          </reference>
        </references>
      </pivotArea>
    </format>
    <format dxfId="1019">
      <pivotArea dataOnly="0" labelOnly="1" outline="0" fieldPosition="0">
        <references count="4">
          <reference field="9" count="1" selected="0">
            <x v="21"/>
          </reference>
          <reference field="10" count="1" selected="0">
            <x v="11"/>
          </reference>
          <reference field="14" count="1">
            <x v="8"/>
          </reference>
          <reference field="18" count="1" selected="0">
            <x v="9"/>
          </reference>
        </references>
      </pivotArea>
    </format>
    <format dxfId="1018">
      <pivotArea dataOnly="0" labelOnly="1" outline="0" fieldPosition="0">
        <references count="4">
          <reference field="9" count="1" selected="0">
            <x v="21"/>
          </reference>
          <reference field="10" count="1" selected="0">
            <x v="11"/>
          </reference>
          <reference field="14" count="1">
            <x v="16"/>
          </reference>
          <reference field="18" count="1" selected="0">
            <x v="12"/>
          </reference>
        </references>
      </pivotArea>
    </format>
    <format dxfId="1017">
      <pivotArea dataOnly="0" labelOnly="1" outline="0" fieldPosition="0">
        <references count="4">
          <reference field="9" count="1" selected="0">
            <x v="21"/>
          </reference>
          <reference field="10" count="1" selected="0">
            <x v="11"/>
          </reference>
          <reference field="14" count="1">
            <x v="25"/>
          </reference>
          <reference field="18" count="1" selected="0">
            <x v="14"/>
          </reference>
        </references>
      </pivotArea>
    </format>
    <format dxfId="1016">
      <pivotArea dataOnly="0" labelOnly="1" outline="0" fieldPosition="0">
        <references count="4">
          <reference field="9" count="1" selected="0">
            <x v="21"/>
          </reference>
          <reference field="10" count="1" selected="0">
            <x v="11"/>
          </reference>
          <reference field="14" count="1">
            <x v="15"/>
          </reference>
          <reference field="18" count="1" selected="0">
            <x v="15"/>
          </reference>
        </references>
      </pivotArea>
    </format>
    <format dxfId="1015">
      <pivotArea dataOnly="0" labelOnly="1" outline="0" fieldPosition="0">
        <references count="4">
          <reference field="9" count="1" selected="0">
            <x v="21"/>
          </reference>
          <reference field="10" count="1" selected="0">
            <x v="11"/>
          </reference>
          <reference field="14" count="1">
            <x v="5"/>
          </reference>
          <reference field="18" count="1" selected="0">
            <x v="28"/>
          </reference>
        </references>
      </pivotArea>
    </format>
    <format dxfId="1014">
      <pivotArea dataOnly="0" labelOnly="1" outline="0" fieldPosition="0">
        <references count="4">
          <reference field="9" count="1" selected="0">
            <x v="21"/>
          </reference>
          <reference field="10" count="1" selected="0">
            <x v="11"/>
          </reference>
          <reference field="14" count="1">
            <x v="29"/>
          </reference>
          <reference field="18" count="1" selected="0">
            <x v="29"/>
          </reference>
        </references>
      </pivotArea>
    </format>
    <format dxfId="1013">
      <pivotArea dataOnly="0" labelOnly="1" outline="0" fieldPosition="0">
        <references count="4">
          <reference field="9" count="1" selected="0">
            <x v="22"/>
          </reference>
          <reference field="10" count="1" selected="0">
            <x v="15"/>
          </reference>
          <reference field="14" count="1">
            <x v="11"/>
          </reference>
          <reference field="18" count="1" selected="0">
            <x v="3"/>
          </reference>
        </references>
      </pivotArea>
    </format>
    <format dxfId="1012">
      <pivotArea dataOnly="0" labelOnly="1" outline="0" fieldPosition="0">
        <references count="4">
          <reference field="9" count="1" selected="0">
            <x v="23"/>
          </reference>
          <reference field="10" count="1" selected="0">
            <x v="19"/>
          </reference>
          <reference field="14" count="1">
            <x v="4"/>
          </reference>
          <reference field="18" count="1" selected="0">
            <x v="0"/>
          </reference>
        </references>
      </pivotArea>
    </format>
    <format dxfId="1011">
      <pivotArea dataOnly="0" labelOnly="1" outline="0" fieldPosition="0">
        <references count="4">
          <reference field="9" count="1" selected="0">
            <x v="23"/>
          </reference>
          <reference field="10" count="1" selected="0">
            <x v="19"/>
          </reference>
          <reference field="14" count="1">
            <x v="10"/>
          </reference>
          <reference field="18" count="1" selected="0">
            <x v="7"/>
          </reference>
        </references>
      </pivotArea>
    </format>
    <format dxfId="1010">
      <pivotArea dataOnly="0" labelOnly="1" outline="0" fieldPosition="0">
        <references count="4">
          <reference field="9" count="1" selected="0">
            <x v="23"/>
          </reference>
          <reference field="10" count="1" selected="0">
            <x v="19"/>
          </reference>
          <reference field="14" count="1">
            <x v="9"/>
          </reference>
          <reference field="18" count="1" selected="0">
            <x v="8"/>
          </reference>
        </references>
      </pivotArea>
    </format>
    <format dxfId="1009">
      <pivotArea dataOnly="0" labelOnly="1" outline="0" fieldPosition="0">
        <references count="4">
          <reference field="9" count="1" selected="0">
            <x v="23"/>
          </reference>
          <reference field="10" count="1" selected="0">
            <x v="19"/>
          </reference>
          <reference field="14" count="1">
            <x v="8"/>
          </reference>
          <reference field="18" count="1" selected="0">
            <x v="9"/>
          </reference>
        </references>
      </pivotArea>
    </format>
    <format dxfId="1008">
      <pivotArea dataOnly="0" labelOnly="1" outline="0" fieldPosition="0">
        <references count="4">
          <reference field="9" count="1" selected="0">
            <x v="23"/>
          </reference>
          <reference field="10" count="1" selected="0">
            <x v="19"/>
          </reference>
          <reference field="14" count="1">
            <x v="17"/>
          </reference>
          <reference field="18" count="1" selected="0">
            <x v="11"/>
          </reference>
        </references>
      </pivotArea>
    </format>
    <format dxfId="1007">
      <pivotArea dataOnly="0" labelOnly="1" outline="0" fieldPosition="0">
        <references count="4">
          <reference field="9" count="1" selected="0">
            <x v="23"/>
          </reference>
          <reference field="10" count="1" selected="0">
            <x v="19"/>
          </reference>
          <reference field="14" count="1">
            <x v="16"/>
          </reference>
          <reference field="18" count="1" selected="0">
            <x v="12"/>
          </reference>
        </references>
      </pivotArea>
    </format>
    <format dxfId="1006">
      <pivotArea dataOnly="0" labelOnly="1" outline="0" fieldPosition="0">
        <references count="4">
          <reference field="9" count="1" selected="0">
            <x v="23"/>
          </reference>
          <reference field="10" count="1" selected="0">
            <x v="19"/>
          </reference>
          <reference field="14" count="1">
            <x v="18"/>
          </reference>
          <reference field="18" count="1" selected="0">
            <x v="13"/>
          </reference>
        </references>
      </pivotArea>
    </format>
    <format dxfId="1005">
      <pivotArea dataOnly="0" labelOnly="1" outline="0" fieldPosition="0">
        <references count="4">
          <reference field="9" count="1" selected="0">
            <x v="23"/>
          </reference>
          <reference field="10" count="1" selected="0">
            <x v="19"/>
          </reference>
          <reference field="14" count="1">
            <x v="25"/>
          </reference>
          <reference field="18" count="1" selected="0">
            <x v="14"/>
          </reference>
        </references>
      </pivotArea>
    </format>
    <format dxfId="1004">
      <pivotArea dataOnly="0" labelOnly="1" outline="0" fieldPosition="0">
        <references count="4">
          <reference field="9" count="1" selected="0">
            <x v="23"/>
          </reference>
          <reference field="10" count="1" selected="0">
            <x v="19"/>
          </reference>
          <reference field="14" count="1">
            <x v="15"/>
          </reference>
          <reference field="18" count="1" selected="0">
            <x v="15"/>
          </reference>
        </references>
      </pivotArea>
    </format>
    <format dxfId="1003">
      <pivotArea dataOnly="0" labelOnly="1" outline="0" fieldPosition="0">
        <references count="4">
          <reference field="9" count="1" selected="0">
            <x v="23"/>
          </reference>
          <reference field="10" count="1" selected="0">
            <x v="19"/>
          </reference>
          <reference field="14" count="1">
            <x v="19"/>
          </reference>
          <reference field="18" count="1" selected="0">
            <x v="16"/>
          </reference>
        </references>
      </pivotArea>
    </format>
    <format dxfId="1002">
      <pivotArea dataOnly="0" labelOnly="1" outline="0" fieldPosition="0">
        <references count="4">
          <reference field="9" count="1" selected="0">
            <x v="23"/>
          </reference>
          <reference field="10" count="1" selected="0">
            <x v="19"/>
          </reference>
          <reference field="14" count="1">
            <x v="14"/>
          </reference>
          <reference field="18" count="1" selected="0">
            <x v="18"/>
          </reference>
        </references>
      </pivotArea>
    </format>
    <format dxfId="1001">
      <pivotArea dataOnly="0" labelOnly="1" outline="0" fieldPosition="0">
        <references count="4">
          <reference field="9" count="1" selected="0">
            <x v="23"/>
          </reference>
          <reference field="10" count="1" selected="0">
            <x v="19"/>
          </reference>
          <reference field="14" count="1">
            <x v="7"/>
          </reference>
          <reference field="18" count="1" selected="0">
            <x v="22"/>
          </reference>
        </references>
      </pivotArea>
    </format>
    <format dxfId="1000">
      <pivotArea dataOnly="0" labelOnly="1" outline="0" fieldPosition="0">
        <references count="4">
          <reference field="9" count="1" selected="0">
            <x v="23"/>
          </reference>
          <reference field="10" count="1" selected="0">
            <x v="19"/>
          </reference>
          <reference field="14" count="1">
            <x v="22"/>
          </reference>
          <reference field="18" count="1" selected="0">
            <x v="25"/>
          </reference>
        </references>
      </pivotArea>
    </format>
    <format dxfId="999">
      <pivotArea dataOnly="0" labelOnly="1" outline="0" fieldPosition="0">
        <references count="4">
          <reference field="9" count="1" selected="0">
            <x v="23"/>
          </reference>
          <reference field="10" count="1" selected="0">
            <x v="19"/>
          </reference>
          <reference field="14" count="1">
            <x v="21"/>
          </reference>
          <reference field="18" count="1" selected="0">
            <x v="27"/>
          </reference>
        </references>
      </pivotArea>
    </format>
    <format dxfId="998">
      <pivotArea dataOnly="0" labelOnly="1" outline="0" fieldPosition="0">
        <references count="4">
          <reference field="9" count="1" selected="0">
            <x v="23"/>
          </reference>
          <reference field="10" count="1" selected="0">
            <x v="19"/>
          </reference>
          <reference field="14" count="1">
            <x v="5"/>
          </reference>
          <reference field="18" count="1" selected="0">
            <x v="28"/>
          </reference>
        </references>
      </pivotArea>
    </format>
    <format dxfId="997">
      <pivotArea dataOnly="0" labelOnly="1" outline="0" fieldPosition="0">
        <references count="4">
          <reference field="9" count="1" selected="0">
            <x v="23"/>
          </reference>
          <reference field="10" count="1" selected="0">
            <x v="19"/>
          </reference>
          <reference field="14" count="1">
            <x v="29"/>
          </reference>
          <reference field="18" count="1" selected="0">
            <x v="29"/>
          </reference>
        </references>
      </pivotArea>
    </format>
    <format dxfId="996">
      <pivotArea dataOnly="0" labelOnly="1" outline="0" fieldPosition="0">
        <references count="4">
          <reference field="9" count="1" selected="0">
            <x v="23"/>
          </reference>
          <reference field="10" count="1" selected="0">
            <x v="19"/>
          </reference>
          <reference field="14" count="1">
            <x v="26"/>
          </reference>
          <reference field="18" count="1" selected="0">
            <x v="30"/>
          </reference>
        </references>
      </pivotArea>
    </format>
    <format dxfId="995">
      <pivotArea dataOnly="0" labelOnly="1" outline="0" fieldPosition="0">
        <references count="4">
          <reference field="9" count="1" selected="0">
            <x v="24"/>
          </reference>
          <reference field="10" count="1" selected="0">
            <x v="23"/>
          </reference>
          <reference field="14" count="1">
            <x v="27"/>
          </reference>
          <reference field="18" count="1" selected="0">
            <x v="6"/>
          </reference>
        </references>
      </pivotArea>
    </format>
    <format dxfId="994">
      <pivotArea dataOnly="0" labelOnly="1" outline="0" fieldPosition="0">
        <references count="4">
          <reference field="9" count="1" selected="0">
            <x v="25"/>
          </reference>
          <reference field="10" count="1" selected="0">
            <x v="27"/>
          </reference>
          <reference field="14" count="1">
            <x v="11"/>
          </reference>
          <reference field="18" count="1" selected="0">
            <x v="3"/>
          </reference>
        </references>
      </pivotArea>
    </format>
    <format dxfId="993">
      <pivotArea dataOnly="0" labelOnly="1" outline="0" fieldPosition="0">
        <references count="4">
          <reference field="9" count="1" selected="0">
            <x v="25"/>
          </reference>
          <reference field="10" count="1" selected="0">
            <x v="27"/>
          </reference>
          <reference field="14" count="1">
            <x v="28"/>
          </reference>
          <reference field="18" count="1" selected="0">
            <x v="5"/>
          </reference>
        </references>
      </pivotArea>
    </format>
    <format dxfId="992">
      <pivotArea dataOnly="0" labelOnly="1" outline="0" fieldPosition="0">
        <references count="4">
          <reference field="9" count="1" selected="0">
            <x v="25"/>
          </reference>
          <reference field="10" count="1" selected="0">
            <x v="27"/>
          </reference>
          <reference field="14" count="1">
            <x v="19"/>
          </reference>
          <reference field="18" count="1" selected="0">
            <x v="16"/>
          </reference>
        </references>
      </pivotArea>
    </format>
    <format dxfId="991">
      <pivotArea dataOnly="0" labelOnly="1" outline="0" fieldPosition="0">
        <references count="4">
          <reference field="9" count="1" selected="0">
            <x v="25"/>
          </reference>
          <reference field="10" count="1" selected="0">
            <x v="27"/>
          </reference>
          <reference field="14" count="1">
            <x v="5"/>
          </reference>
          <reference field="18" count="1" selected="0">
            <x v="28"/>
          </reference>
        </references>
      </pivotArea>
    </format>
    <format dxfId="990">
      <pivotArea dataOnly="0" labelOnly="1" outline="0" fieldPosition="0">
        <references count="4">
          <reference field="9" count="1" selected="0">
            <x v="25"/>
          </reference>
          <reference field="10" count="1" selected="0">
            <x v="27"/>
          </reference>
          <reference field="14" count="1">
            <x v="26"/>
          </reference>
          <reference field="18" count="1" selected="0">
            <x v="30"/>
          </reference>
        </references>
      </pivotArea>
    </format>
    <format dxfId="989">
      <pivotArea dataOnly="0" labelOnly="1" outline="0" fieldPosition="0">
        <references count="4">
          <reference field="9" count="1" selected="0">
            <x v="26"/>
          </reference>
          <reference field="10" count="1" selected="0">
            <x v="31"/>
          </reference>
          <reference field="14" count="1">
            <x v="4"/>
          </reference>
          <reference field="18" count="1" selected="0">
            <x v="0"/>
          </reference>
        </references>
      </pivotArea>
    </format>
    <format dxfId="988">
      <pivotArea dataOnly="0" labelOnly="1" outline="0" fieldPosition="0">
        <references count="4">
          <reference field="9" count="1" selected="0">
            <x v="26"/>
          </reference>
          <reference field="10" count="1" selected="0">
            <x v="31"/>
          </reference>
          <reference field="14" count="1">
            <x v="11"/>
          </reference>
          <reference field="18" count="1" selected="0">
            <x v="3"/>
          </reference>
        </references>
      </pivotArea>
    </format>
    <format dxfId="987">
      <pivotArea dataOnly="0" labelOnly="1" outline="0" fieldPosition="0">
        <references count="4">
          <reference field="9" count="1" selected="0">
            <x v="26"/>
          </reference>
          <reference field="10" count="1" selected="0">
            <x v="31"/>
          </reference>
          <reference field="14" count="1">
            <x v="28"/>
          </reference>
          <reference field="18" count="1" selected="0">
            <x v="5"/>
          </reference>
        </references>
      </pivotArea>
    </format>
    <format dxfId="986">
      <pivotArea dataOnly="0" labelOnly="1" outline="0" fieldPosition="0">
        <references count="4">
          <reference field="9" count="1" selected="0">
            <x v="26"/>
          </reference>
          <reference field="10" count="1" selected="0">
            <x v="31"/>
          </reference>
          <reference field="14" count="1">
            <x v="10"/>
          </reference>
          <reference field="18" count="1" selected="0">
            <x v="7"/>
          </reference>
        </references>
      </pivotArea>
    </format>
    <format dxfId="985">
      <pivotArea dataOnly="0" labelOnly="1" outline="0" fieldPosition="0">
        <references count="4">
          <reference field="9" count="1" selected="0">
            <x v="26"/>
          </reference>
          <reference field="10" count="1" selected="0">
            <x v="31"/>
          </reference>
          <reference field="14" count="1">
            <x v="8"/>
          </reference>
          <reference field="18" count="1" selected="0">
            <x v="9"/>
          </reference>
        </references>
      </pivotArea>
    </format>
    <format dxfId="984">
      <pivotArea dataOnly="0" labelOnly="1" outline="0" fieldPosition="0">
        <references count="4">
          <reference field="9" count="1" selected="0">
            <x v="26"/>
          </reference>
          <reference field="10" count="1" selected="0">
            <x v="31"/>
          </reference>
          <reference field="14" count="1">
            <x v="16"/>
          </reference>
          <reference field="18" count="1" selected="0">
            <x v="12"/>
          </reference>
        </references>
      </pivotArea>
    </format>
    <format dxfId="983">
      <pivotArea dataOnly="0" labelOnly="1" outline="0" fieldPosition="0">
        <references count="4">
          <reference field="9" count="1" selected="0">
            <x v="26"/>
          </reference>
          <reference field="10" count="1" selected="0">
            <x v="31"/>
          </reference>
          <reference field="14" count="1">
            <x v="25"/>
          </reference>
          <reference field="18" count="1" selected="0">
            <x v="14"/>
          </reference>
        </references>
      </pivotArea>
    </format>
    <format dxfId="982">
      <pivotArea dataOnly="0" labelOnly="1" outline="0" fieldPosition="0">
        <references count="4">
          <reference field="9" count="1" selected="0">
            <x v="26"/>
          </reference>
          <reference field="10" count="1" selected="0">
            <x v="31"/>
          </reference>
          <reference field="14" count="1">
            <x v="15"/>
          </reference>
          <reference field="18" count="1" selected="0">
            <x v="15"/>
          </reference>
        </references>
      </pivotArea>
    </format>
    <format dxfId="981">
      <pivotArea dataOnly="0" labelOnly="1" outline="0" fieldPosition="0">
        <references count="4">
          <reference field="9" count="1" selected="0">
            <x v="26"/>
          </reference>
          <reference field="10" count="1" selected="0">
            <x v="31"/>
          </reference>
          <reference field="14" count="1">
            <x v="19"/>
          </reference>
          <reference field="18" count="1" selected="0">
            <x v="16"/>
          </reference>
        </references>
      </pivotArea>
    </format>
    <format dxfId="980">
      <pivotArea dataOnly="0" labelOnly="1" outline="0" fieldPosition="0">
        <references count="4">
          <reference field="9" count="1" selected="0">
            <x v="26"/>
          </reference>
          <reference field="10" count="1" selected="0">
            <x v="31"/>
          </reference>
          <reference field="14" count="1">
            <x v="14"/>
          </reference>
          <reference field="18" count="1" selected="0">
            <x v="18"/>
          </reference>
        </references>
      </pivotArea>
    </format>
    <format dxfId="979">
      <pivotArea dataOnly="0" labelOnly="1" outline="0" fieldPosition="0">
        <references count="4">
          <reference field="9" count="1" selected="0">
            <x v="26"/>
          </reference>
          <reference field="10" count="1" selected="0">
            <x v="31"/>
          </reference>
          <reference field="14" count="1">
            <x v="7"/>
          </reference>
          <reference field="18" count="1" selected="0">
            <x v="22"/>
          </reference>
        </references>
      </pivotArea>
    </format>
    <format dxfId="978">
      <pivotArea dataOnly="0" labelOnly="1" outline="0" fieldPosition="0">
        <references count="4">
          <reference field="9" count="1" selected="0">
            <x v="26"/>
          </reference>
          <reference field="10" count="1" selected="0">
            <x v="31"/>
          </reference>
          <reference field="14" count="1">
            <x v="22"/>
          </reference>
          <reference field="18" count="1" selected="0">
            <x v="25"/>
          </reference>
        </references>
      </pivotArea>
    </format>
    <format dxfId="977">
      <pivotArea dataOnly="0" labelOnly="1" outline="0" fieldPosition="0">
        <references count="4">
          <reference field="9" count="1" selected="0">
            <x v="26"/>
          </reference>
          <reference field="10" count="1" selected="0">
            <x v="31"/>
          </reference>
          <reference field="14" count="1">
            <x v="5"/>
          </reference>
          <reference field="18" count="1" selected="0">
            <x v="28"/>
          </reference>
        </references>
      </pivotArea>
    </format>
    <format dxfId="976">
      <pivotArea dataOnly="0" labelOnly="1" outline="0" fieldPosition="0">
        <references count="4">
          <reference field="9" count="1" selected="0">
            <x v="26"/>
          </reference>
          <reference field="10" count="1" selected="0">
            <x v="31"/>
          </reference>
          <reference field="14" count="1">
            <x v="29"/>
          </reference>
          <reference field="18" count="1" selected="0">
            <x v="29"/>
          </reference>
        </references>
      </pivotArea>
    </format>
    <format dxfId="975">
      <pivotArea dataOnly="0" labelOnly="1" outline="0" fieldPosition="0">
        <references count="4">
          <reference field="9" count="1" selected="0">
            <x v="27"/>
          </reference>
          <reference field="10" count="1" selected="0">
            <x v="35"/>
          </reference>
          <reference field="14" count="1">
            <x v="7"/>
          </reference>
          <reference field="18" count="1" selected="0">
            <x v="22"/>
          </reference>
        </references>
      </pivotArea>
    </format>
    <format dxfId="974">
      <pivotArea dataOnly="0" labelOnly="1" outline="0" fieldPosition="0">
        <references count="4">
          <reference field="9" count="1" selected="0">
            <x v="28"/>
          </reference>
          <reference field="10" count="1" selected="0">
            <x v="39"/>
          </reference>
          <reference field="14" count="1">
            <x v="17"/>
          </reference>
          <reference field="18" count="1" selected="0">
            <x v="11"/>
          </reference>
        </references>
      </pivotArea>
    </format>
    <format dxfId="973">
      <pivotArea dataOnly="0" labelOnly="1" outline="0" fieldPosition="0">
        <references count="4">
          <reference field="9" count="1" selected="0">
            <x v="28"/>
          </reference>
          <reference field="10" count="1" selected="0">
            <x v="39"/>
          </reference>
          <reference field="14" count="1">
            <x v="16"/>
          </reference>
          <reference field="18" count="1" selected="0">
            <x v="12"/>
          </reference>
        </references>
      </pivotArea>
    </format>
    <format dxfId="972">
      <pivotArea dataOnly="0" labelOnly="1" outline="0" fieldPosition="0">
        <references count="4">
          <reference field="9" count="1" selected="0">
            <x v="28"/>
          </reference>
          <reference field="10" count="1" selected="0">
            <x v="39"/>
          </reference>
          <reference field="14" count="1">
            <x v="18"/>
          </reference>
          <reference field="18" count="1" selected="0">
            <x v="13"/>
          </reference>
        </references>
      </pivotArea>
    </format>
    <format dxfId="971">
      <pivotArea dataOnly="0" labelOnly="1" outline="0" fieldPosition="0">
        <references count="4">
          <reference field="9" count="1" selected="0">
            <x v="28"/>
          </reference>
          <reference field="10" count="1" selected="0">
            <x v="39"/>
          </reference>
          <reference field="14" count="1">
            <x v="15"/>
          </reference>
          <reference field="18" count="1" selected="0">
            <x v="15"/>
          </reference>
        </references>
      </pivotArea>
    </format>
    <format dxfId="970">
      <pivotArea dataOnly="0" labelOnly="1" outline="0" fieldPosition="0">
        <references count="4">
          <reference field="9" count="1" selected="0">
            <x v="28"/>
          </reference>
          <reference field="10" count="1" selected="0">
            <x v="39"/>
          </reference>
          <reference field="14" count="1">
            <x v="21"/>
          </reference>
          <reference field="18" count="1" selected="0">
            <x v="27"/>
          </reference>
        </references>
      </pivotArea>
    </format>
    <format dxfId="969">
      <pivotArea dataOnly="0" labelOnly="1" outline="0" fieldPosition="0">
        <references count="4">
          <reference field="9" count="1" selected="0">
            <x v="29"/>
          </reference>
          <reference field="10" count="1" selected="0">
            <x v="43"/>
          </reference>
          <reference field="14" count="1">
            <x v="1"/>
          </reference>
          <reference field="18" count="1" selected="0">
            <x v="1"/>
          </reference>
        </references>
      </pivotArea>
    </format>
    <format dxfId="968">
      <pivotArea dataOnly="0" labelOnly="1" outline="0" fieldPosition="0">
        <references count="4">
          <reference field="9" count="1" selected="0">
            <x v="29"/>
          </reference>
          <reference field="10" count="1" selected="0">
            <x v="43"/>
          </reference>
          <reference field="14" count="1">
            <x v="11"/>
          </reference>
          <reference field="18" count="1" selected="0">
            <x v="3"/>
          </reference>
        </references>
      </pivotArea>
    </format>
    <format dxfId="967">
      <pivotArea dataOnly="0" labelOnly="1" outline="0" fieldPosition="0">
        <references count="4">
          <reference field="9" count="1" selected="0">
            <x v="29"/>
          </reference>
          <reference field="10" count="1" selected="0">
            <x v="43"/>
          </reference>
          <reference field="14" count="1">
            <x v="28"/>
          </reference>
          <reference field="18" count="1" selected="0">
            <x v="5"/>
          </reference>
        </references>
      </pivotArea>
    </format>
    <format dxfId="966">
      <pivotArea dataOnly="0" labelOnly="1" outline="0" fieldPosition="0">
        <references count="4">
          <reference field="9" count="1" selected="0">
            <x v="29"/>
          </reference>
          <reference field="10" count="1" selected="0">
            <x v="43"/>
          </reference>
          <reference field="14" count="1">
            <x v="10"/>
          </reference>
          <reference field="18" count="1" selected="0">
            <x v="7"/>
          </reference>
        </references>
      </pivotArea>
    </format>
    <format dxfId="965">
      <pivotArea dataOnly="0" labelOnly="1" outline="0" fieldPosition="0">
        <references count="4">
          <reference field="9" count="1" selected="0">
            <x v="29"/>
          </reference>
          <reference field="10" count="1" selected="0">
            <x v="43"/>
          </reference>
          <reference field="14" count="1">
            <x v="15"/>
          </reference>
          <reference field="18" count="1" selected="0">
            <x v="15"/>
          </reference>
        </references>
      </pivotArea>
    </format>
    <format dxfId="964">
      <pivotArea dataOnly="0" labelOnly="1" outline="0" fieldPosition="0">
        <references count="4">
          <reference field="9" count="1" selected="0">
            <x v="29"/>
          </reference>
          <reference field="10" count="1" selected="0">
            <x v="43"/>
          </reference>
          <reference field="14" count="1">
            <x v="22"/>
          </reference>
          <reference field="18" count="1" selected="0">
            <x v="25"/>
          </reference>
        </references>
      </pivotArea>
    </format>
    <format dxfId="963">
      <pivotArea dataOnly="0" labelOnly="1" outline="0" fieldPosition="0">
        <references count="4">
          <reference field="9" count="1" selected="0">
            <x v="29"/>
          </reference>
          <reference field="10" count="1" selected="0">
            <x v="43"/>
          </reference>
          <reference field="14" count="1">
            <x v="5"/>
          </reference>
          <reference field="18" count="1" selected="0">
            <x v="28"/>
          </reference>
        </references>
      </pivotArea>
    </format>
    <format dxfId="962">
      <pivotArea dataOnly="0" labelOnly="1" outline="0" fieldPosition="0">
        <references count="4">
          <reference field="9" count="1" selected="0">
            <x v="29"/>
          </reference>
          <reference field="10" count="1" selected="0">
            <x v="43"/>
          </reference>
          <reference field="14" count="1">
            <x v="29"/>
          </reference>
          <reference field="18" count="1" selected="0">
            <x v="29"/>
          </reference>
        </references>
      </pivotArea>
    </format>
    <format dxfId="961">
      <pivotArea dataOnly="0" labelOnly="1" outline="0" fieldPosition="0">
        <references count="4">
          <reference field="9" count="1" selected="0">
            <x v="30"/>
          </reference>
          <reference field="10" count="1" selected="0">
            <x v="47"/>
          </reference>
          <reference field="14" count="1">
            <x v="27"/>
          </reference>
          <reference field="18" count="1" selected="0">
            <x v="6"/>
          </reference>
        </references>
      </pivotArea>
    </format>
    <format dxfId="960">
      <pivotArea dataOnly="0" labelOnly="1" outline="0" fieldPosition="0">
        <references count="4">
          <reference field="9" count="1" selected="0">
            <x v="30"/>
          </reference>
          <reference field="10" count="1" selected="0">
            <x v="47"/>
          </reference>
          <reference field="14" count="1">
            <x v="7"/>
          </reference>
          <reference field="18" count="1" selected="0">
            <x v="22"/>
          </reference>
        </references>
      </pivotArea>
    </format>
    <format dxfId="959">
      <pivotArea dataOnly="0" labelOnly="1" outline="0" fieldPosition="0">
        <references count="4">
          <reference field="9" count="1" selected="0">
            <x v="31"/>
          </reference>
          <reference field="10" count="1" selected="0">
            <x v="51"/>
          </reference>
          <reference field="14" count="1">
            <x v="27"/>
          </reference>
          <reference field="18" count="1" selected="0">
            <x v="6"/>
          </reference>
        </references>
      </pivotArea>
    </format>
    <format dxfId="958">
      <pivotArea dataOnly="0" labelOnly="1" outline="0" fieldPosition="0">
        <references count="4">
          <reference field="9" count="1" selected="0">
            <x v="32"/>
          </reference>
          <reference field="10" count="1" selected="0">
            <x v="12"/>
          </reference>
          <reference field="14" count="1">
            <x v="4"/>
          </reference>
          <reference field="18" count="1" selected="0">
            <x v="0"/>
          </reference>
        </references>
      </pivotArea>
    </format>
    <format dxfId="957">
      <pivotArea dataOnly="0" labelOnly="1" outline="0" fieldPosition="0">
        <references count="4">
          <reference field="9" count="1" selected="0">
            <x v="32"/>
          </reference>
          <reference field="10" count="1" selected="0">
            <x v="12"/>
          </reference>
          <reference field="14" count="1">
            <x v="1"/>
          </reference>
          <reference field="18" count="1" selected="0">
            <x v="1"/>
          </reference>
        </references>
      </pivotArea>
    </format>
    <format dxfId="956">
      <pivotArea dataOnly="0" labelOnly="1" outline="0" fieldPosition="0">
        <references count="4">
          <reference field="9" count="1" selected="0">
            <x v="32"/>
          </reference>
          <reference field="10" count="1" selected="0">
            <x v="12"/>
          </reference>
          <reference field="14" count="1">
            <x v="11"/>
          </reference>
          <reference field="18" count="1" selected="0">
            <x v="3"/>
          </reference>
        </references>
      </pivotArea>
    </format>
    <format dxfId="955">
      <pivotArea dataOnly="0" labelOnly="1" outline="0" fieldPosition="0">
        <references count="4">
          <reference field="9" count="1" selected="0">
            <x v="32"/>
          </reference>
          <reference field="10" count="1" selected="0">
            <x v="12"/>
          </reference>
          <reference field="14" count="1">
            <x v="16"/>
          </reference>
          <reference field="18" count="1" selected="0">
            <x v="12"/>
          </reference>
        </references>
      </pivotArea>
    </format>
    <format dxfId="954">
      <pivotArea dataOnly="0" labelOnly="1" outline="0" fieldPosition="0">
        <references count="4">
          <reference field="9" count="1" selected="0">
            <x v="32"/>
          </reference>
          <reference field="10" count="1" selected="0">
            <x v="12"/>
          </reference>
          <reference field="14" count="1">
            <x v="25"/>
          </reference>
          <reference field="18" count="1" selected="0">
            <x v="14"/>
          </reference>
        </references>
      </pivotArea>
    </format>
    <format dxfId="953">
      <pivotArea dataOnly="0" labelOnly="1" outline="0" fieldPosition="0">
        <references count="4">
          <reference field="9" count="1" selected="0">
            <x v="32"/>
          </reference>
          <reference field="10" count="1" selected="0">
            <x v="12"/>
          </reference>
          <reference field="14" count="1">
            <x v="12"/>
          </reference>
          <reference field="18" count="1" selected="0">
            <x v="21"/>
          </reference>
        </references>
      </pivotArea>
    </format>
    <format dxfId="952">
      <pivotArea dataOnly="0" labelOnly="1" outline="0" fieldPosition="0">
        <references count="4">
          <reference field="9" count="1" selected="0">
            <x v="32"/>
          </reference>
          <reference field="10" count="1" selected="0">
            <x v="12"/>
          </reference>
          <reference field="14" count="1">
            <x v="7"/>
          </reference>
          <reference field="18" count="1" selected="0">
            <x v="22"/>
          </reference>
        </references>
      </pivotArea>
    </format>
    <format dxfId="951">
      <pivotArea dataOnly="0" labelOnly="1" outline="0" fieldPosition="0">
        <references count="4">
          <reference field="9" count="1" selected="0">
            <x v="32"/>
          </reference>
          <reference field="10" count="1" selected="0">
            <x v="12"/>
          </reference>
          <reference field="14" count="1">
            <x v="22"/>
          </reference>
          <reference field="18" count="1" selected="0">
            <x v="25"/>
          </reference>
        </references>
      </pivotArea>
    </format>
    <format dxfId="950">
      <pivotArea dataOnly="0" labelOnly="1" outline="0" fieldPosition="0">
        <references count="4">
          <reference field="9" count="1" selected="0">
            <x v="32"/>
          </reference>
          <reference field="10" count="1" selected="0">
            <x v="12"/>
          </reference>
          <reference field="14" count="1">
            <x v="5"/>
          </reference>
          <reference field="18" count="1" selected="0">
            <x v="28"/>
          </reference>
        </references>
      </pivotArea>
    </format>
    <format dxfId="949">
      <pivotArea dataOnly="0" labelOnly="1" outline="0" fieldPosition="0">
        <references count="4">
          <reference field="9" count="1" selected="0">
            <x v="32"/>
          </reference>
          <reference field="10" count="1" selected="0">
            <x v="12"/>
          </reference>
          <reference field="14" count="1">
            <x v="29"/>
          </reference>
          <reference field="18" count="1" selected="0">
            <x v="29"/>
          </reference>
        </references>
      </pivotArea>
    </format>
    <format dxfId="948">
      <pivotArea dataOnly="0" labelOnly="1" outline="0" fieldPosition="0">
        <references count="4">
          <reference field="9" count="1" selected="0">
            <x v="33"/>
          </reference>
          <reference field="10" count="1" selected="0">
            <x v="16"/>
          </reference>
          <reference field="14" count="1">
            <x v="11"/>
          </reference>
          <reference field="18" count="1" selected="0">
            <x v="3"/>
          </reference>
        </references>
      </pivotArea>
    </format>
    <format dxfId="947">
      <pivotArea dataOnly="0" labelOnly="1" outline="0" fieldPosition="0">
        <references count="4">
          <reference field="9" count="1" selected="0">
            <x v="34"/>
          </reference>
          <reference field="10" count="1" selected="0">
            <x v="20"/>
          </reference>
          <reference field="14" count="1">
            <x v="4"/>
          </reference>
          <reference field="18" count="1" selected="0">
            <x v="0"/>
          </reference>
        </references>
      </pivotArea>
    </format>
    <format dxfId="946">
      <pivotArea dataOnly="0" labelOnly="1" outline="0" fieldPosition="0">
        <references count="4">
          <reference field="9" count="1" selected="0">
            <x v="34"/>
          </reference>
          <reference field="10" count="1" selected="0">
            <x v="20"/>
          </reference>
          <reference field="14" count="1">
            <x v="1"/>
          </reference>
          <reference field="18" count="1" selected="0">
            <x v="1"/>
          </reference>
        </references>
      </pivotArea>
    </format>
    <format dxfId="945">
      <pivotArea dataOnly="0" labelOnly="1" outline="0" fieldPosition="0">
        <references count="4">
          <reference field="9" count="1" selected="0">
            <x v="34"/>
          </reference>
          <reference field="10" count="1" selected="0">
            <x v="20"/>
          </reference>
          <reference field="14" count="1">
            <x v="10"/>
          </reference>
          <reference field="18" count="1" selected="0">
            <x v="7"/>
          </reference>
        </references>
      </pivotArea>
    </format>
    <format dxfId="944">
      <pivotArea dataOnly="0" labelOnly="1" outline="0" fieldPosition="0">
        <references count="4">
          <reference field="9" count="1" selected="0">
            <x v="34"/>
          </reference>
          <reference field="10" count="1" selected="0">
            <x v="20"/>
          </reference>
          <reference field="14" count="1">
            <x v="9"/>
          </reference>
          <reference field="18" count="1" selected="0">
            <x v="8"/>
          </reference>
        </references>
      </pivotArea>
    </format>
    <format dxfId="943">
      <pivotArea dataOnly="0" labelOnly="1" outline="0" fieldPosition="0">
        <references count="4">
          <reference field="9" count="1" selected="0">
            <x v="34"/>
          </reference>
          <reference field="10" count="1" selected="0">
            <x v="20"/>
          </reference>
          <reference field="14" count="1">
            <x v="8"/>
          </reference>
          <reference field="18" count="1" selected="0">
            <x v="9"/>
          </reference>
        </references>
      </pivotArea>
    </format>
    <format dxfId="942">
      <pivotArea dataOnly="0" labelOnly="1" outline="0" fieldPosition="0">
        <references count="4">
          <reference field="9" count="1" selected="0">
            <x v="34"/>
          </reference>
          <reference field="10" count="1" selected="0">
            <x v="20"/>
          </reference>
          <reference field="14" count="1">
            <x v="17"/>
          </reference>
          <reference field="18" count="1" selected="0">
            <x v="11"/>
          </reference>
        </references>
      </pivotArea>
    </format>
    <format dxfId="941">
      <pivotArea dataOnly="0" labelOnly="1" outline="0" fieldPosition="0">
        <references count="4">
          <reference field="9" count="1" selected="0">
            <x v="34"/>
          </reference>
          <reference field="10" count="1" selected="0">
            <x v="20"/>
          </reference>
          <reference field="14" count="1">
            <x v="16"/>
          </reference>
          <reference field="18" count="1" selected="0">
            <x v="12"/>
          </reference>
        </references>
      </pivotArea>
    </format>
    <format dxfId="940">
      <pivotArea dataOnly="0" labelOnly="1" outline="0" fieldPosition="0">
        <references count="4">
          <reference field="9" count="1" selected="0">
            <x v="34"/>
          </reference>
          <reference field="10" count="1" selected="0">
            <x v="20"/>
          </reference>
          <reference field="14" count="1">
            <x v="18"/>
          </reference>
          <reference field="18" count="1" selected="0">
            <x v="13"/>
          </reference>
        </references>
      </pivotArea>
    </format>
    <format dxfId="939">
      <pivotArea dataOnly="0" labelOnly="1" outline="0" fieldPosition="0">
        <references count="4">
          <reference field="9" count="1" selected="0">
            <x v="34"/>
          </reference>
          <reference field="10" count="1" selected="0">
            <x v="20"/>
          </reference>
          <reference field="14" count="1">
            <x v="15"/>
          </reference>
          <reference field="18" count="1" selected="0">
            <x v="15"/>
          </reference>
        </references>
      </pivotArea>
    </format>
    <format dxfId="938">
      <pivotArea dataOnly="0" labelOnly="1" outline="0" fieldPosition="0">
        <references count="4">
          <reference field="9" count="1" selected="0">
            <x v="34"/>
          </reference>
          <reference field="10" count="1" selected="0">
            <x v="20"/>
          </reference>
          <reference field="14" count="1">
            <x v="19"/>
          </reference>
          <reference field="18" count="1" selected="0">
            <x v="16"/>
          </reference>
        </references>
      </pivotArea>
    </format>
    <format dxfId="937">
      <pivotArea dataOnly="0" labelOnly="1" outline="0" fieldPosition="0">
        <references count="4">
          <reference field="9" count="1" selected="0">
            <x v="34"/>
          </reference>
          <reference field="10" count="1" selected="0">
            <x v="20"/>
          </reference>
          <reference field="14" count="1">
            <x v="14"/>
          </reference>
          <reference field="18" count="1" selected="0">
            <x v="18"/>
          </reference>
        </references>
      </pivotArea>
    </format>
    <format dxfId="936">
      <pivotArea dataOnly="0" labelOnly="1" outline="0" fieldPosition="0">
        <references count="4">
          <reference field="9" count="1" selected="0">
            <x v="34"/>
          </reference>
          <reference field="10" count="1" selected="0">
            <x v="20"/>
          </reference>
          <reference field="14" count="1">
            <x v="7"/>
          </reference>
          <reference field="18" count="1" selected="0">
            <x v="22"/>
          </reference>
        </references>
      </pivotArea>
    </format>
    <format dxfId="935">
      <pivotArea dataOnly="0" labelOnly="1" outline="0" fieldPosition="0">
        <references count="4">
          <reference field="9" count="1" selected="0">
            <x v="34"/>
          </reference>
          <reference field="10" count="1" selected="0">
            <x v="20"/>
          </reference>
          <reference field="14" count="1">
            <x v="22"/>
          </reference>
          <reference field="18" count="1" selected="0">
            <x v="25"/>
          </reference>
        </references>
      </pivotArea>
    </format>
    <format dxfId="934">
      <pivotArea dataOnly="0" labelOnly="1" outline="0" fieldPosition="0">
        <references count="4">
          <reference field="9" count="1" selected="0">
            <x v="34"/>
          </reference>
          <reference field="10" count="1" selected="0">
            <x v="20"/>
          </reference>
          <reference field="14" count="1">
            <x v="21"/>
          </reference>
          <reference field="18" count="1" selected="0">
            <x v="27"/>
          </reference>
        </references>
      </pivotArea>
    </format>
    <format dxfId="933">
      <pivotArea dataOnly="0" labelOnly="1" outline="0" fieldPosition="0">
        <references count="4">
          <reference field="9" count="1" selected="0">
            <x v="34"/>
          </reference>
          <reference field="10" count="1" selected="0">
            <x v="20"/>
          </reference>
          <reference field="14" count="1">
            <x v="5"/>
          </reference>
          <reference field="18" count="1" selected="0">
            <x v="28"/>
          </reference>
        </references>
      </pivotArea>
    </format>
    <format dxfId="932">
      <pivotArea dataOnly="0" labelOnly="1" outline="0" fieldPosition="0">
        <references count="4">
          <reference field="9" count="1" selected="0">
            <x v="34"/>
          </reference>
          <reference field="10" count="1" selected="0">
            <x v="20"/>
          </reference>
          <reference field="14" count="1">
            <x v="29"/>
          </reference>
          <reference field="18" count="1" selected="0">
            <x v="29"/>
          </reference>
        </references>
      </pivotArea>
    </format>
    <format dxfId="931">
      <pivotArea dataOnly="0" labelOnly="1" outline="0" fieldPosition="0">
        <references count="4">
          <reference field="9" count="1" selected="0">
            <x v="34"/>
          </reference>
          <reference field="10" count="1" selected="0">
            <x v="20"/>
          </reference>
          <reference field="14" count="1">
            <x v="26"/>
          </reference>
          <reference field="18" count="1" selected="0">
            <x v="30"/>
          </reference>
        </references>
      </pivotArea>
    </format>
    <format dxfId="930">
      <pivotArea dataOnly="0" labelOnly="1" outline="0" fieldPosition="0">
        <references count="4">
          <reference field="9" count="1" selected="0">
            <x v="35"/>
          </reference>
          <reference field="10" count="1" selected="0">
            <x v="24"/>
          </reference>
          <reference field="14" count="1">
            <x v="27"/>
          </reference>
          <reference field="18" count="1" selected="0">
            <x v="6"/>
          </reference>
        </references>
      </pivotArea>
    </format>
    <format dxfId="929">
      <pivotArea dataOnly="0" labelOnly="1" outline="0" fieldPosition="0">
        <references count="4">
          <reference field="9" count="1" selected="0">
            <x v="36"/>
          </reference>
          <reference field="10" count="1" selected="0">
            <x v="28"/>
          </reference>
          <reference field="14" count="1">
            <x v="6"/>
          </reference>
          <reference field="18" count="1" selected="0">
            <x v="4"/>
          </reference>
        </references>
      </pivotArea>
    </format>
    <format dxfId="928">
      <pivotArea dataOnly="0" labelOnly="1" outline="0" fieldPosition="0">
        <references count="4">
          <reference field="9" count="1" selected="0">
            <x v="36"/>
          </reference>
          <reference field="10" count="1" selected="0">
            <x v="28"/>
          </reference>
          <reference field="14" count="1">
            <x v="19"/>
          </reference>
          <reference field="18" count="1" selected="0">
            <x v="16"/>
          </reference>
        </references>
      </pivotArea>
    </format>
    <format dxfId="927">
      <pivotArea dataOnly="0" labelOnly="1" outline="0" fieldPosition="0">
        <references count="4">
          <reference field="9" count="1" selected="0">
            <x v="36"/>
          </reference>
          <reference field="10" count="1" selected="0">
            <x v="28"/>
          </reference>
          <reference field="14" count="1">
            <x v="26"/>
          </reference>
          <reference field="18" count="1" selected="0">
            <x v="30"/>
          </reference>
        </references>
      </pivotArea>
    </format>
    <format dxfId="926">
      <pivotArea dataOnly="0" labelOnly="1" outline="0" fieldPosition="0">
        <references count="4">
          <reference field="9" count="1" selected="0">
            <x v="37"/>
          </reference>
          <reference field="10" count="1" selected="0">
            <x v="32"/>
          </reference>
          <reference field="14" count="1">
            <x v="1"/>
          </reference>
          <reference field="18" count="1" selected="0">
            <x v="1"/>
          </reference>
        </references>
      </pivotArea>
    </format>
    <format dxfId="925">
      <pivotArea dataOnly="0" labelOnly="1" outline="0" fieldPosition="0">
        <references count="4">
          <reference field="9" count="1" selected="0">
            <x v="37"/>
          </reference>
          <reference field="10" count="1" selected="0">
            <x v="32"/>
          </reference>
          <reference field="14" count="1">
            <x v="28"/>
          </reference>
          <reference field="18" count="1" selected="0">
            <x v="5"/>
          </reference>
        </references>
      </pivotArea>
    </format>
    <format dxfId="924">
      <pivotArea dataOnly="0" labelOnly="1" outline="0" fieldPosition="0">
        <references count="4">
          <reference field="9" count="1" selected="0">
            <x v="37"/>
          </reference>
          <reference field="10" count="1" selected="0">
            <x v="32"/>
          </reference>
          <reference field="14" count="1">
            <x v="10"/>
          </reference>
          <reference field="18" count="1" selected="0">
            <x v="7"/>
          </reference>
        </references>
      </pivotArea>
    </format>
    <format dxfId="923">
      <pivotArea dataOnly="0" labelOnly="1" outline="0" fieldPosition="0">
        <references count="4">
          <reference field="9" count="1" selected="0">
            <x v="37"/>
          </reference>
          <reference field="10" count="1" selected="0">
            <x v="32"/>
          </reference>
          <reference field="14" count="1">
            <x v="8"/>
          </reference>
          <reference field="18" count="1" selected="0">
            <x v="9"/>
          </reference>
        </references>
      </pivotArea>
    </format>
    <format dxfId="922">
      <pivotArea dataOnly="0" labelOnly="1" outline="0" fieldPosition="0">
        <references count="4">
          <reference field="9" count="1" selected="0">
            <x v="37"/>
          </reference>
          <reference field="10" count="1" selected="0">
            <x v="32"/>
          </reference>
          <reference field="14" count="1">
            <x v="16"/>
          </reference>
          <reference field="18" count="1" selected="0">
            <x v="12"/>
          </reference>
        </references>
      </pivotArea>
    </format>
    <format dxfId="921">
      <pivotArea dataOnly="0" labelOnly="1" outline="0" fieldPosition="0">
        <references count="4">
          <reference field="9" count="1" selected="0">
            <x v="37"/>
          </reference>
          <reference field="10" count="1" selected="0">
            <x v="32"/>
          </reference>
          <reference field="14" count="1">
            <x v="25"/>
          </reference>
          <reference field="18" count="1" selected="0">
            <x v="14"/>
          </reference>
        </references>
      </pivotArea>
    </format>
    <format dxfId="920">
      <pivotArea dataOnly="0" labelOnly="1" outline="0" fieldPosition="0">
        <references count="4">
          <reference field="9" count="1" selected="0">
            <x v="37"/>
          </reference>
          <reference field="10" count="1" selected="0">
            <x v="32"/>
          </reference>
          <reference field="14" count="1">
            <x v="15"/>
          </reference>
          <reference field="18" count="1" selected="0">
            <x v="15"/>
          </reference>
        </references>
      </pivotArea>
    </format>
    <format dxfId="919">
      <pivotArea dataOnly="0" labelOnly="1" outline="0" fieldPosition="0">
        <references count="4">
          <reference field="9" count="1" selected="0">
            <x v="37"/>
          </reference>
          <reference field="10" count="1" selected="0">
            <x v="32"/>
          </reference>
          <reference field="14" count="1">
            <x v="22"/>
          </reference>
          <reference field="18" count="1" selected="0">
            <x v="25"/>
          </reference>
        </references>
      </pivotArea>
    </format>
    <format dxfId="918">
      <pivotArea dataOnly="0" labelOnly="1" outline="0" fieldPosition="0">
        <references count="4">
          <reference field="9" count="1" selected="0">
            <x v="37"/>
          </reference>
          <reference field="10" count="1" selected="0">
            <x v="32"/>
          </reference>
          <reference field="14" count="1">
            <x v="5"/>
          </reference>
          <reference field="18" count="1" selected="0">
            <x v="28"/>
          </reference>
        </references>
      </pivotArea>
    </format>
    <format dxfId="917">
      <pivotArea dataOnly="0" labelOnly="1" outline="0" fieldPosition="0">
        <references count="4">
          <reference field="9" count="1" selected="0">
            <x v="37"/>
          </reference>
          <reference field="10" count="1" selected="0">
            <x v="32"/>
          </reference>
          <reference field="14" count="1">
            <x v="29"/>
          </reference>
          <reference field="18" count="1" selected="0">
            <x v="29"/>
          </reference>
        </references>
      </pivotArea>
    </format>
    <format dxfId="916">
      <pivotArea dataOnly="0" labelOnly="1" outline="0" fieldPosition="0">
        <references count="4">
          <reference field="9" count="1" selected="0">
            <x v="38"/>
          </reference>
          <reference field="10" count="1" selected="0">
            <x v="36"/>
          </reference>
          <reference field="14" count="1">
            <x v="7"/>
          </reference>
          <reference field="18" count="1" selected="0">
            <x v="22"/>
          </reference>
        </references>
      </pivotArea>
    </format>
    <format dxfId="915">
      <pivotArea dataOnly="0" labelOnly="1" outline="0" fieldPosition="0">
        <references count="4">
          <reference field="9" count="1" selected="0">
            <x v="39"/>
          </reference>
          <reference field="10" count="1" selected="0">
            <x v="40"/>
          </reference>
          <reference field="14" count="1">
            <x v="17"/>
          </reference>
          <reference field="18" count="1" selected="0">
            <x v="11"/>
          </reference>
        </references>
      </pivotArea>
    </format>
    <format dxfId="914">
      <pivotArea dataOnly="0" labelOnly="1" outline="0" fieldPosition="0">
        <references count="4">
          <reference field="9" count="1" selected="0">
            <x v="39"/>
          </reference>
          <reference field="10" count="1" selected="0">
            <x v="40"/>
          </reference>
          <reference field="14" count="1">
            <x v="16"/>
          </reference>
          <reference field="18" count="1" selected="0">
            <x v="12"/>
          </reference>
        </references>
      </pivotArea>
    </format>
    <format dxfId="913">
      <pivotArea dataOnly="0" labelOnly="1" outline="0" fieldPosition="0">
        <references count="4">
          <reference field="9" count="1" selected="0">
            <x v="39"/>
          </reference>
          <reference field="10" count="1" selected="0">
            <x v="40"/>
          </reference>
          <reference field="14" count="1">
            <x v="18"/>
          </reference>
          <reference field="18" count="1" selected="0">
            <x v="13"/>
          </reference>
        </references>
      </pivotArea>
    </format>
    <format dxfId="912">
      <pivotArea dataOnly="0" labelOnly="1" outline="0" fieldPosition="0">
        <references count="4">
          <reference field="9" count="1" selected="0">
            <x v="39"/>
          </reference>
          <reference field="10" count="1" selected="0">
            <x v="40"/>
          </reference>
          <reference field="14" count="1">
            <x v="15"/>
          </reference>
          <reference field="18" count="1" selected="0">
            <x v="15"/>
          </reference>
        </references>
      </pivotArea>
    </format>
    <format dxfId="911">
      <pivotArea dataOnly="0" labelOnly="1" outline="0" fieldPosition="0">
        <references count="4">
          <reference field="9" count="1" selected="0">
            <x v="39"/>
          </reference>
          <reference field="10" count="1" selected="0">
            <x v="40"/>
          </reference>
          <reference field="14" count="1">
            <x v="22"/>
          </reference>
          <reference field="18" count="1" selected="0">
            <x v="25"/>
          </reference>
        </references>
      </pivotArea>
    </format>
    <format dxfId="910">
      <pivotArea dataOnly="0" labelOnly="1" outline="0" fieldPosition="0">
        <references count="4">
          <reference field="9" count="1" selected="0">
            <x v="39"/>
          </reference>
          <reference field="10" count="1" selected="0">
            <x v="40"/>
          </reference>
          <reference field="14" count="1">
            <x v="21"/>
          </reference>
          <reference field="18" count="1" selected="0">
            <x v="27"/>
          </reference>
        </references>
      </pivotArea>
    </format>
    <format dxfId="909">
      <pivotArea dataOnly="0" labelOnly="1" outline="0" fieldPosition="0">
        <references count="4">
          <reference field="9" count="1" selected="0">
            <x v="39"/>
          </reference>
          <reference field="10" count="1" selected="0">
            <x v="40"/>
          </reference>
          <reference field="14" count="1">
            <x v="29"/>
          </reference>
          <reference field="18" count="1" selected="0">
            <x v="29"/>
          </reference>
        </references>
      </pivotArea>
    </format>
    <format dxfId="908">
      <pivotArea dataOnly="0" labelOnly="1" outline="0" fieldPosition="0">
        <references count="4">
          <reference field="9" count="1" selected="0">
            <x v="40"/>
          </reference>
          <reference field="10" count="1" selected="0">
            <x v="44"/>
          </reference>
          <reference field="14" count="1">
            <x v="11"/>
          </reference>
          <reference field="18" count="1" selected="0">
            <x v="3"/>
          </reference>
        </references>
      </pivotArea>
    </format>
    <format dxfId="907">
      <pivotArea dataOnly="0" labelOnly="1" outline="0" fieldPosition="0">
        <references count="4">
          <reference field="9" count="1" selected="0">
            <x v="40"/>
          </reference>
          <reference field="10" count="1" selected="0">
            <x v="44"/>
          </reference>
          <reference field="14" count="1">
            <x v="28"/>
          </reference>
          <reference field="18" count="1" selected="0">
            <x v="5"/>
          </reference>
        </references>
      </pivotArea>
    </format>
    <format dxfId="906">
      <pivotArea dataOnly="0" labelOnly="1" outline="0" fieldPosition="0">
        <references count="4">
          <reference field="9" count="1" selected="0">
            <x v="40"/>
          </reference>
          <reference field="10" count="1" selected="0">
            <x v="44"/>
          </reference>
          <reference field="14" count="1">
            <x v="10"/>
          </reference>
          <reference field="18" count="1" selected="0">
            <x v="7"/>
          </reference>
        </references>
      </pivotArea>
    </format>
    <format dxfId="905">
      <pivotArea dataOnly="0" labelOnly="1" outline="0" fieldPosition="0">
        <references count="4">
          <reference field="9" count="1" selected="0">
            <x v="40"/>
          </reference>
          <reference field="10" count="1" selected="0">
            <x v="44"/>
          </reference>
          <reference field="14" count="1">
            <x v="9"/>
          </reference>
          <reference field="18" count="1" selected="0">
            <x v="8"/>
          </reference>
        </references>
      </pivotArea>
    </format>
    <format dxfId="904">
      <pivotArea dataOnly="0" labelOnly="1" outline="0" fieldPosition="0">
        <references count="4">
          <reference field="9" count="1" selected="0">
            <x v="40"/>
          </reference>
          <reference field="10" count="1" selected="0">
            <x v="44"/>
          </reference>
          <reference field="14" count="1">
            <x v="8"/>
          </reference>
          <reference field="18" count="1" selected="0">
            <x v="9"/>
          </reference>
        </references>
      </pivotArea>
    </format>
    <format dxfId="903">
      <pivotArea dataOnly="0" labelOnly="1" outline="0" fieldPosition="0">
        <references count="4">
          <reference field="9" count="1" selected="0">
            <x v="40"/>
          </reference>
          <reference field="10" count="1" selected="0">
            <x v="44"/>
          </reference>
          <reference field="14" count="1">
            <x v="25"/>
          </reference>
          <reference field="18" count="1" selected="0">
            <x v="14"/>
          </reference>
        </references>
      </pivotArea>
    </format>
    <format dxfId="902">
      <pivotArea dataOnly="0" labelOnly="1" outline="0" fieldPosition="0">
        <references count="4">
          <reference field="9" count="1" selected="0">
            <x v="40"/>
          </reference>
          <reference field="10" count="1" selected="0">
            <x v="44"/>
          </reference>
          <reference field="14" count="1">
            <x v="15"/>
          </reference>
          <reference field="18" count="1" selected="0">
            <x v="15"/>
          </reference>
        </references>
      </pivotArea>
    </format>
    <format dxfId="901">
      <pivotArea dataOnly="0" labelOnly="1" outline="0" fieldPosition="0">
        <references count="4">
          <reference field="9" count="1" selected="0">
            <x v="40"/>
          </reference>
          <reference field="10" count="1" selected="0">
            <x v="44"/>
          </reference>
          <reference field="14" count="1">
            <x v="5"/>
          </reference>
          <reference field="18" count="1" selected="0">
            <x v="28"/>
          </reference>
        </references>
      </pivotArea>
    </format>
    <format dxfId="900">
      <pivotArea dataOnly="0" labelOnly="1" outline="0" fieldPosition="0">
        <references count="4">
          <reference field="9" count="1" selected="0">
            <x v="41"/>
          </reference>
          <reference field="10" count="1" selected="0">
            <x v="48"/>
          </reference>
          <reference field="14" count="1">
            <x v="27"/>
          </reference>
          <reference field="18" count="1" selected="0">
            <x v="6"/>
          </reference>
        </references>
      </pivotArea>
    </format>
    <format dxfId="899">
      <pivotArea dataOnly="0" labelOnly="1" outline="0" fieldPosition="0">
        <references count="4">
          <reference field="9" count="1" selected="0">
            <x v="41"/>
          </reference>
          <reference field="10" count="1" selected="0">
            <x v="48"/>
          </reference>
          <reference field="14" count="1">
            <x v="7"/>
          </reference>
          <reference field="18" count="1" selected="0">
            <x v="22"/>
          </reference>
        </references>
      </pivotArea>
    </format>
    <format dxfId="898">
      <pivotArea dataOnly="0" labelOnly="1" outline="0" fieldPosition="0">
        <references count="4">
          <reference field="9" count="1" selected="0">
            <x v="42"/>
          </reference>
          <reference field="10" count="1" selected="0">
            <x v="52"/>
          </reference>
          <reference field="14" count="1">
            <x v="27"/>
          </reference>
          <reference field="18" count="1" selected="0">
            <x v="6"/>
          </reference>
        </references>
      </pivotArea>
    </format>
    <format dxfId="897">
      <pivotArea dataOnly="0" labelOnly="1" outline="0" fieldPosition="0">
        <references count="4">
          <reference field="9" count="1" selected="0">
            <x v="43"/>
          </reference>
          <reference field="10" count="1" selected="0">
            <x v="9"/>
          </reference>
          <reference field="14" count="1">
            <x v="1"/>
          </reference>
          <reference field="18" count="1" selected="0">
            <x v="1"/>
          </reference>
        </references>
      </pivotArea>
    </format>
    <format dxfId="896">
      <pivotArea dataOnly="0" labelOnly="1" outline="0" fieldPosition="0">
        <references count="4">
          <reference field="9" count="1" selected="0">
            <x v="43"/>
          </reference>
          <reference field="10" count="1" selected="0">
            <x v="9"/>
          </reference>
          <reference field="14" count="1">
            <x v="11"/>
          </reference>
          <reference field="18" count="1" selected="0">
            <x v="3"/>
          </reference>
        </references>
      </pivotArea>
    </format>
    <format dxfId="895">
      <pivotArea dataOnly="0" labelOnly="1" outline="0" fieldPosition="0">
        <references count="4">
          <reference field="9" count="1" selected="0">
            <x v="43"/>
          </reference>
          <reference field="10" count="1" selected="0">
            <x v="9"/>
          </reference>
          <reference field="14" count="1">
            <x v="10"/>
          </reference>
          <reference field="18" count="1" selected="0">
            <x v="7"/>
          </reference>
        </references>
      </pivotArea>
    </format>
    <format dxfId="894">
      <pivotArea dataOnly="0" labelOnly="1" outline="0" fieldPosition="0">
        <references count="4">
          <reference field="9" count="1" selected="0">
            <x v="43"/>
          </reference>
          <reference field="10" count="1" selected="0">
            <x v="9"/>
          </reference>
          <reference field="14" count="1">
            <x v="25"/>
          </reference>
          <reference field="18" count="1" selected="0">
            <x v="14"/>
          </reference>
        </references>
      </pivotArea>
    </format>
    <format dxfId="893">
      <pivotArea dataOnly="0" labelOnly="1" outline="0" fieldPosition="0">
        <references count="4">
          <reference field="9" count="1" selected="0">
            <x v="43"/>
          </reference>
          <reference field="10" count="1" selected="0">
            <x v="9"/>
          </reference>
          <reference field="14" count="1">
            <x v="12"/>
          </reference>
          <reference field="18" count="1" selected="0">
            <x v="21"/>
          </reference>
        </references>
      </pivotArea>
    </format>
    <format dxfId="892">
      <pivotArea dataOnly="0" labelOnly="1" outline="0" fieldPosition="0">
        <references count="4">
          <reference field="9" count="1" selected="0">
            <x v="43"/>
          </reference>
          <reference field="10" count="1" selected="0">
            <x v="9"/>
          </reference>
          <reference field="14" count="1">
            <x v="5"/>
          </reference>
          <reference field="18" count="1" selected="0">
            <x v="28"/>
          </reference>
        </references>
      </pivotArea>
    </format>
    <format dxfId="891">
      <pivotArea dataOnly="0" labelOnly="1" outline="0" fieldPosition="0">
        <references count="4">
          <reference field="9" count="1" selected="0">
            <x v="43"/>
          </reference>
          <reference field="10" count="1" selected="0">
            <x v="9"/>
          </reference>
          <reference field="14" count="1">
            <x v="29"/>
          </reference>
          <reference field="18" count="1" selected="0">
            <x v="29"/>
          </reference>
        </references>
      </pivotArea>
    </format>
    <format dxfId="890">
      <pivotArea dataOnly="0" labelOnly="1" outline="0" fieldPosition="0">
        <references count="4">
          <reference field="9" count="1" selected="0">
            <x v="44"/>
          </reference>
          <reference field="10" count="1" selected="0">
            <x v="13"/>
          </reference>
          <reference field="14" count="1">
            <x v="11"/>
          </reference>
          <reference field="18" count="1" selected="0">
            <x v="3"/>
          </reference>
        </references>
      </pivotArea>
    </format>
    <format dxfId="889">
      <pivotArea dataOnly="0" labelOnly="1" outline="0" fieldPosition="0">
        <references count="4">
          <reference field="9" count="1" selected="0">
            <x v="45"/>
          </reference>
          <reference field="10" count="1" selected="0">
            <x v="17"/>
          </reference>
          <reference field="14" count="1">
            <x v="4"/>
          </reference>
          <reference field="18" count="1" selected="0">
            <x v="0"/>
          </reference>
        </references>
      </pivotArea>
    </format>
    <format dxfId="888">
      <pivotArea dataOnly="0" labelOnly="1" outline="0" fieldPosition="0">
        <references count="4">
          <reference field="9" count="1" selected="0">
            <x v="45"/>
          </reference>
          <reference field="10" count="1" selected="0">
            <x v="17"/>
          </reference>
          <reference field="14" count="1">
            <x v="1"/>
          </reference>
          <reference field="18" count="1" selected="0">
            <x v="1"/>
          </reference>
        </references>
      </pivotArea>
    </format>
    <format dxfId="887">
      <pivotArea dataOnly="0" labelOnly="1" outline="0" fieldPosition="0">
        <references count="4">
          <reference field="9" count="1" selected="0">
            <x v="45"/>
          </reference>
          <reference field="10" count="1" selected="0">
            <x v="17"/>
          </reference>
          <reference field="14" count="1">
            <x v="11"/>
          </reference>
          <reference field="18" count="1" selected="0">
            <x v="3"/>
          </reference>
        </references>
      </pivotArea>
    </format>
    <format dxfId="886">
      <pivotArea dataOnly="0" labelOnly="1" outline="0" fieldPosition="0">
        <references count="4">
          <reference field="9" count="1" selected="0">
            <x v="45"/>
          </reference>
          <reference field="10" count="1" selected="0">
            <x v="17"/>
          </reference>
          <reference field="14" count="1">
            <x v="10"/>
          </reference>
          <reference field="18" count="1" selected="0">
            <x v="7"/>
          </reference>
        </references>
      </pivotArea>
    </format>
    <format dxfId="885">
      <pivotArea dataOnly="0" labelOnly="1" outline="0" fieldPosition="0">
        <references count="4">
          <reference field="9" count="1" selected="0">
            <x v="45"/>
          </reference>
          <reference field="10" count="1" selected="0">
            <x v="17"/>
          </reference>
          <reference field="14" count="1">
            <x v="9"/>
          </reference>
          <reference field="18" count="1" selected="0">
            <x v="8"/>
          </reference>
        </references>
      </pivotArea>
    </format>
    <format dxfId="884">
      <pivotArea dataOnly="0" labelOnly="1" outline="0" fieldPosition="0">
        <references count="4">
          <reference field="9" count="1" selected="0">
            <x v="45"/>
          </reference>
          <reference field="10" count="1" selected="0">
            <x v="17"/>
          </reference>
          <reference field="14" count="1">
            <x v="8"/>
          </reference>
          <reference field="18" count="1" selected="0">
            <x v="9"/>
          </reference>
        </references>
      </pivotArea>
    </format>
    <format dxfId="883">
      <pivotArea dataOnly="0" labelOnly="1" outline="0" fieldPosition="0">
        <references count="4">
          <reference field="9" count="1" selected="0">
            <x v="45"/>
          </reference>
          <reference field="10" count="1" selected="0">
            <x v="17"/>
          </reference>
          <reference field="14" count="1">
            <x v="17"/>
          </reference>
          <reference field="18" count="1" selected="0">
            <x v="11"/>
          </reference>
        </references>
      </pivotArea>
    </format>
    <format dxfId="882">
      <pivotArea dataOnly="0" labelOnly="1" outline="0" fieldPosition="0">
        <references count="4">
          <reference field="9" count="1" selected="0">
            <x v="45"/>
          </reference>
          <reference field="10" count="1" selected="0">
            <x v="17"/>
          </reference>
          <reference field="14" count="1">
            <x v="16"/>
          </reference>
          <reference field="18" count="1" selected="0">
            <x v="12"/>
          </reference>
        </references>
      </pivotArea>
    </format>
    <format dxfId="881">
      <pivotArea dataOnly="0" labelOnly="1" outline="0" fieldPosition="0">
        <references count="4">
          <reference field="9" count="1" selected="0">
            <x v="45"/>
          </reference>
          <reference field="10" count="1" selected="0">
            <x v="17"/>
          </reference>
          <reference field="14" count="1">
            <x v="18"/>
          </reference>
          <reference field="18" count="1" selected="0">
            <x v="13"/>
          </reference>
        </references>
      </pivotArea>
    </format>
    <format dxfId="880">
      <pivotArea dataOnly="0" labelOnly="1" outline="0" fieldPosition="0">
        <references count="4">
          <reference field="9" count="1" selected="0">
            <x v="45"/>
          </reference>
          <reference field="10" count="1" selected="0">
            <x v="17"/>
          </reference>
          <reference field="14" count="1">
            <x v="25"/>
          </reference>
          <reference field="18" count="1" selected="0">
            <x v="14"/>
          </reference>
        </references>
      </pivotArea>
    </format>
    <format dxfId="879">
      <pivotArea dataOnly="0" labelOnly="1" outline="0" fieldPosition="0">
        <references count="4">
          <reference field="9" count="1" selected="0">
            <x v="45"/>
          </reference>
          <reference field="10" count="1" selected="0">
            <x v="17"/>
          </reference>
          <reference field="14" count="1">
            <x v="19"/>
          </reference>
          <reference field="18" count="1" selected="0">
            <x v="16"/>
          </reference>
        </references>
      </pivotArea>
    </format>
    <format dxfId="878">
      <pivotArea dataOnly="0" labelOnly="1" outline="0" fieldPosition="0">
        <references count="4">
          <reference field="9" count="1" selected="0">
            <x v="45"/>
          </reference>
          <reference field="10" count="1" selected="0">
            <x v="17"/>
          </reference>
          <reference field="14" count="1">
            <x v="14"/>
          </reference>
          <reference field="18" count="1" selected="0">
            <x v="18"/>
          </reference>
        </references>
      </pivotArea>
    </format>
    <format dxfId="877">
      <pivotArea dataOnly="0" labelOnly="1" outline="0" fieldPosition="0">
        <references count="4">
          <reference field="9" count="1" selected="0">
            <x v="45"/>
          </reference>
          <reference field="10" count="1" selected="0">
            <x v="17"/>
          </reference>
          <reference field="14" count="1">
            <x v="7"/>
          </reference>
          <reference field="18" count="1" selected="0">
            <x v="22"/>
          </reference>
        </references>
      </pivotArea>
    </format>
    <format dxfId="876">
      <pivotArea dataOnly="0" labelOnly="1" outline="0" fieldPosition="0">
        <references count="4">
          <reference field="9" count="1" selected="0">
            <x v="45"/>
          </reference>
          <reference field="10" count="1" selected="0">
            <x v="17"/>
          </reference>
          <reference field="14" count="1">
            <x v="21"/>
          </reference>
          <reference field="18" count="1" selected="0">
            <x v="27"/>
          </reference>
        </references>
      </pivotArea>
    </format>
    <format dxfId="875">
      <pivotArea dataOnly="0" labelOnly="1" outline="0" fieldPosition="0">
        <references count="4">
          <reference field="9" count="1" selected="0">
            <x v="45"/>
          </reference>
          <reference field="10" count="1" selected="0">
            <x v="17"/>
          </reference>
          <reference field="14" count="1">
            <x v="5"/>
          </reference>
          <reference field="18" count="1" selected="0">
            <x v="28"/>
          </reference>
        </references>
      </pivotArea>
    </format>
    <format dxfId="874">
      <pivotArea dataOnly="0" labelOnly="1" outline="0" fieldPosition="0">
        <references count="4">
          <reference field="9" count="1" selected="0">
            <x v="45"/>
          </reference>
          <reference field="10" count="1" selected="0">
            <x v="17"/>
          </reference>
          <reference field="14" count="1">
            <x v="29"/>
          </reference>
          <reference field="18" count="1" selected="0">
            <x v="29"/>
          </reference>
        </references>
      </pivotArea>
    </format>
    <format dxfId="873">
      <pivotArea dataOnly="0" labelOnly="1" outline="0" fieldPosition="0">
        <references count="4">
          <reference field="9" count="1" selected="0">
            <x v="45"/>
          </reference>
          <reference field="10" count="1" selected="0">
            <x v="17"/>
          </reference>
          <reference field="14" count="1">
            <x v="26"/>
          </reference>
          <reference field="18" count="1" selected="0">
            <x v="30"/>
          </reference>
        </references>
      </pivotArea>
    </format>
    <format dxfId="872">
      <pivotArea dataOnly="0" labelOnly="1" outline="0" fieldPosition="0">
        <references count="4">
          <reference field="9" count="1" selected="0">
            <x v="46"/>
          </reference>
          <reference field="10" count="1" selected="0">
            <x v="21"/>
          </reference>
          <reference field="14" count="1">
            <x v="27"/>
          </reference>
          <reference field="18" count="1" selected="0">
            <x v="6"/>
          </reference>
        </references>
      </pivotArea>
    </format>
    <format dxfId="871">
      <pivotArea dataOnly="0" labelOnly="1" outline="0" fieldPosition="0">
        <references count="4">
          <reference field="9" count="1" selected="0">
            <x v="47"/>
          </reference>
          <reference field="10" count="1" selected="0">
            <x v="25"/>
          </reference>
          <reference field="14" count="1">
            <x v="19"/>
          </reference>
          <reference field="18" count="1" selected="0">
            <x v="16"/>
          </reference>
        </references>
      </pivotArea>
    </format>
    <format dxfId="870">
      <pivotArea dataOnly="0" labelOnly="1" outline="0" fieldPosition="0">
        <references count="4">
          <reference field="9" count="1" selected="0">
            <x v="47"/>
          </reference>
          <reference field="10" count="1" selected="0">
            <x v="25"/>
          </reference>
          <reference field="14" count="1">
            <x v="26"/>
          </reference>
          <reference field="18" count="1" selected="0">
            <x v="30"/>
          </reference>
        </references>
      </pivotArea>
    </format>
    <format dxfId="869">
      <pivotArea dataOnly="0" labelOnly="1" outline="0" fieldPosition="0">
        <references count="4">
          <reference field="9" count="1" selected="0">
            <x v="48"/>
          </reference>
          <reference field="10" count="1" selected="0">
            <x v="29"/>
          </reference>
          <reference field="14" count="1">
            <x v="11"/>
          </reference>
          <reference field="18" count="1" selected="0">
            <x v="3"/>
          </reference>
        </references>
      </pivotArea>
    </format>
    <format dxfId="868">
      <pivotArea dataOnly="0" labelOnly="1" outline="0" fieldPosition="0">
        <references count="4">
          <reference field="9" count="1" selected="0">
            <x v="48"/>
          </reference>
          <reference field="10" count="1" selected="0">
            <x v="29"/>
          </reference>
          <reference field="14" count="1">
            <x v="28"/>
          </reference>
          <reference field="18" count="1" selected="0">
            <x v="5"/>
          </reference>
        </references>
      </pivotArea>
    </format>
    <format dxfId="867">
      <pivotArea dataOnly="0" labelOnly="1" outline="0" fieldPosition="0">
        <references count="4">
          <reference field="9" count="1" selected="0">
            <x v="48"/>
          </reference>
          <reference field="10" count="1" selected="0">
            <x v="29"/>
          </reference>
          <reference field="14" count="1">
            <x v="10"/>
          </reference>
          <reference field="18" count="1" selected="0">
            <x v="7"/>
          </reference>
        </references>
      </pivotArea>
    </format>
    <format dxfId="866">
      <pivotArea dataOnly="0" labelOnly="1" outline="0" fieldPosition="0">
        <references count="4">
          <reference field="9" count="1" selected="0">
            <x v="48"/>
          </reference>
          <reference field="10" count="1" selected="0">
            <x v="29"/>
          </reference>
          <reference field="14" count="1">
            <x v="25"/>
          </reference>
          <reference field="18" count="1" selected="0">
            <x v="14"/>
          </reference>
        </references>
      </pivotArea>
    </format>
    <format dxfId="865">
      <pivotArea dataOnly="0" labelOnly="1" outline="0" fieldPosition="0">
        <references count="4">
          <reference field="9" count="1" selected="0">
            <x v="48"/>
          </reference>
          <reference field="10" count="1" selected="0">
            <x v="29"/>
          </reference>
          <reference field="14" count="1">
            <x v="19"/>
          </reference>
          <reference field="18" count="1" selected="0">
            <x v="16"/>
          </reference>
        </references>
      </pivotArea>
    </format>
    <format dxfId="864">
      <pivotArea dataOnly="0" labelOnly="1" outline="0" fieldPosition="0">
        <references count="4">
          <reference field="9" count="1" selected="0">
            <x v="48"/>
          </reference>
          <reference field="10" count="1" selected="0">
            <x v="29"/>
          </reference>
          <reference field="14" count="1">
            <x v="24"/>
          </reference>
          <reference field="18" count="1" selected="0">
            <x v="19"/>
          </reference>
        </references>
      </pivotArea>
    </format>
    <format dxfId="863">
      <pivotArea dataOnly="0" labelOnly="1" outline="0" fieldPosition="0">
        <references count="4">
          <reference field="9" count="1" selected="0">
            <x v="48"/>
          </reference>
          <reference field="10" count="1" selected="0">
            <x v="29"/>
          </reference>
          <reference field="14" count="1">
            <x v="22"/>
          </reference>
          <reference field="18" count="1" selected="0">
            <x v="25"/>
          </reference>
        </references>
      </pivotArea>
    </format>
    <format dxfId="862">
      <pivotArea dataOnly="0" labelOnly="1" outline="0" fieldPosition="0">
        <references count="4">
          <reference field="9" count="1" selected="0">
            <x v="48"/>
          </reference>
          <reference field="10" count="1" selected="0">
            <x v="29"/>
          </reference>
          <reference field="14" count="1">
            <x v="5"/>
          </reference>
          <reference field="18" count="1" selected="0">
            <x v="28"/>
          </reference>
        </references>
      </pivotArea>
    </format>
    <format dxfId="861">
      <pivotArea dataOnly="0" labelOnly="1" outline="0" fieldPosition="0">
        <references count="4">
          <reference field="9" count="1" selected="0">
            <x v="49"/>
          </reference>
          <reference field="10" count="1" selected="0">
            <x v="33"/>
          </reference>
          <reference field="14" count="1">
            <x v="7"/>
          </reference>
          <reference field="18" count="1" selected="0">
            <x v="22"/>
          </reference>
        </references>
      </pivotArea>
    </format>
    <format dxfId="860">
      <pivotArea dataOnly="0" labelOnly="1" outline="0" fieldPosition="0">
        <references count="4">
          <reference field="9" count="1" selected="0">
            <x v="50"/>
          </reference>
          <reference field="10" count="1" selected="0">
            <x v="37"/>
          </reference>
          <reference field="14" count="1">
            <x v="4"/>
          </reference>
          <reference field="18" count="1" selected="0">
            <x v="0"/>
          </reference>
        </references>
      </pivotArea>
    </format>
    <format dxfId="859">
      <pivotArea dataOnly="0" labelOnly="1" outline="0" fieldPosition="0">
        <references count="4">
          <reference field="9" count="1" selected="0">
            <x v="50"/>
          </reference>
          <reference field="10" count="1" selected="0">
            <x v="37"/>
          </reference>
          <reference field="14" count="1">
            <x v="17"/>
          </reference>
          <reference field="18" count="1" selected="0">
            <x v="11"/>
          </reference>
        </references>
      </pivotArea>
    </format>
    <format dxfId="858">
      <pivotArea dataOnly="0" labelOnly="1" outline="0" fieldPosition="0">
        <references count="4">
          <reference field="9" count="1" selected="0">
            <x v="50"/>
          </reference>
          <reference field="10" count="1" selected="0">
            <x v="37"/>
          </reference>
          <reference field="14" count="1">
            <x v="18"/>
          </reference>
          <reference field="18" count="1" selected="0">
            <x v="13"/>
          </reference>
        </references>
      </pivotArea>
    </format>
    <format dxfId="857">
      <pivotArea dataOnly="0" labelOnly="1" outline="0" fieldPosition="0">
        <references count="4">
          <reference field="9" count="1" selected="0">
            <x v="50"/>
          </reference>
          <reference field="10" count="1" selected="0">
            <x v="37"/>
          </reference>
          <reference field="14" count="1">
            <x v="21"/>
          </reference>
          <reference field="18" count="1" selected="0">
            <x v="27"/>
          </reference>
        </references>
      </pivotArea>
    </format>
    <format dxfId="856">
      <pivotArea dataOnly="0" labelOnly="1" outline="0" fieldPosition="0">
        <references count="4">
          <reference field="9" count="1" selected="0">
            <x v="50"/>
          </reference>
          <reference field="10" count="1" selected="0">
            <x v="37"/>
          </reference>
          <reference field="14" count="1">
            <x v="29"/>
          </reference>
          <reference field="18" count="1" selected="0">
            <x v="29"/>
          </reference>
        </references>
      </pivotArea>
    </format>
    <format dxfId="855">
      <pivotArea dataOnly="0" labelOnly="1" outline="0" fieldPosition="0">
        <references count="4">
          <reference field="9" count="1" selected="0">
            <x v="51"/>
          </reference>
          <reference field="10" count="1" selected="0">
            <x v="41"/>
          </reference>
          <reference field="14" count="1">
            <x v="1"/>
          </reference>
          <reference field="18" count="1" selected="0">
            <x v="1"/>
          </reference>
        </references>
      </pivotArea>
    </format>
    <format dxfId="854">
      <pivotArea dataOnly="0" labelOnly="1" outline="0" fieldPosition="0">
        <references count="4">
          <reference field="9" count="1" selected="0">
            <x v="51"/>
          </reference>
          <reference field="10" count="1" selected="0">
            <x v="41"/>
          </reference>
          <reference field="14" count="1">
            <x v="11"/>
          </reference>
          <reference field="18" count="1" selected="0">
            <x v="3"/>
          </reference>
        </references>
      </pivotArea>
    </format>
    <format dxfId="853">
      <pivotArea dataOnly="0" labelOnly="1" outline="0" fieldPosition="0">
        <references count="4">
          <reference field="9" count="1" selected="0">
            <x v="51"/>
          </reference>
          <reference field="10" count="1" selected="0">
            <x v="41"/>
          </reference>
          <reference field="14" count="1">
            <x v="10"/>
          </reference>
          <reference field="18" count="1" selected="0">
            <x v="7"/>
          </reference>
        </references>
      </pivotArea>
    </format>
    <format dxfId="852">
      <pivotArea dataOnly="0" labelOnly="1" outline="0" fieldPosition="0">
        <references count="4">
          <reference field="9" count="1" selected="0">
            <x v="51"/>
          </reference>
          <reference field="10" count="1" selected="0">
            <x v="41"/>
          </reference>
          <reference field="14" count="1">
            <x v="8"/>
          </reference>
          <reference field="18" count="1" selected="0">
            <x v="9"/>
          </reference>
        </references>
      </pivotArea>
    </format>
    <format dxfId="851">
      <pivotArea dataOnly="0" labelOnly="1" outline="0" fieldPosition="0">
        <references count="4">
          <reference field="9" count="1" selected="0">
            <x v="51"/>
          </reference>
          <reference field="10" count="1" selected="0">
            <x v="41"/>
          </reference>
          <reference field="14" count="1">
            <x v="16"/>
          </reference>
          <reference field="18" count="1" selected="0">
            <x v="12"/>
          </reference>
        </references>
      </pivotArea>
    </format>
    <format dxfId="850">
      <pivotArea dataOnly="0" labelOnly="1" outline="0" fieldPosition="0">
        <references count="4">
          <reference field="9" count="1" selected="0">
            <x v="51"/>
          </reference>
          <reference field="10" count="1" selected="0">
            <x v="41"/>
          </reference>
          <reference field="14" count="1">
            <x v="14"/>
          </reference>
          <reference field="18" count="1" selected="0">
            <x v="18"/>
          </reference>
        </references>
      </pivotArea>
    </format>
    <format dxfId="849">
      <pivotArea dataOnly="0" labelOnly="1" outline="0" fieldPosition="0">
        <references count="4">
          <reference field="9" count="1" selected="0">
            <x v="51"/>
          </reference>
          <reference field="10" count="1" selected="0">
            <x v="41"/>
          </reference>
          <reference field="14" count="1">
            <x v="22"/>
          </reference>
          <reference field="18" count="1" selected="0">
            <x v="25"/>
          </reference>
        </references>
      </pivotArea>
    </format>
    <format dxfId="848">
      <pivotArea dataOnly="0" labelOnly="1" outline="0" fieldPosition="0">
        <references count="4">
          <reference field="9" count="1" selected="0">
            <x v="51"/>
          </reference>
          <reference field="10" count="1" selected="0">
            <x v="41"/>
          </reference>
          <reference field="14" count="1">
            <x v="5"/>
          </reference>
          <reference field="18" count="1" selected="0">
            <x v="28"/>
          </reference>
        </references>
      </pivotArea>
    </format>
    <format dxfId="847">
      <pivotArea dataOnly="0" labelOnly="1" outline="0" fieldPosition="0">
        <references count="4">
          <reference field="9" count="1" selected="0">
            <x v="52"/>
          </reference>
          <reference field="10" count="1" selected="0">
            <x v="45"/>
          </reference>
          <reference field="14" count="1">
            <x v="27"/>
          </reference>
          <reference field="18" count="1" selected="0">
            <x v="6"/>
          </reference>
        </references>
      </pivotArea>
    </format>
    <format dxfId="846">
      <pivotArea dataOnly="0" labelOnly="1" outline="0" fieldPosition="0">
        <references count="4">
          <reference field="9" count="1" selected="0">
            <x v="52"/>
          </reference>
          <reference field="10" count="1" selected="0">
            <x v="45"/>
          </reference>
          <reference field="14" count="1">
            <x v="7"/>
          </reference>
          <reference field="18" count="1" selected="0">
            <x v="22"/>
          </reference>
        </references>
      </pivotArea>
    </format>
    <format dxfId="845">
      <pivotArea dataOnly="0" labelOnly="1" outline="0" fieldPosition="0">
        <references count="4">
          <reference field="9" count="1" selected="0">
            <x v="53"/>
          </reference>
          <reference field="10" count="1" selected="0">
            <x v="49"/>
          </reference>
          <reference field="14" count="1">
            <x v="27"/>
          </reference>
          <reference field="18" count="1" selected="0">
            <x v="6"/>
          </reference>
        </references>
      </pivotArea>
    </format>
    <format dxfId="844">
      <pivotArea dataOnly="0" labelOnly="1" outline="0" fieldPosition="0">
        <references count="4">
          <reference field="9" count="1" selected="0">
            <x v="54"/>
          </reference>
          <reference field="10" count="1" selected="0">
            <x v="4"/>
          </reference>
          <reference field="14" count="1">
            <x v="15"/>
          </reference>
          <reference field="18" count="1" selected="0">
            <x v="15"/>
          </reference>
        </references>
      </pivotArea>
    </format>
    <format dxfId="843">
      <pivotArea dataOnly="0" labelOnly="1" outline="0" fieldPosition="0">
        <references count="4">
          <reference field="9" count="1" selected="0">
            <x v="55"/>
          </reference>
          <reference field="10" count="1" selected="0">
            <x v="5"/>
          </reference>
          <reference field="14" count="1">
            <x v="11"/>
          </reference>
          <reference field="18" count="1" selected="0">
            <x v="3"/>
          </reference>
        </references>
      </pivotArea>
    </format>
    <format dxfId="842">
      <pivotArea dataOnly="0" labelOnly="1" outline="0" fieldPosition="0">
        <references count="4">
          <reference field="9" count="1" selected="0">
            <x v="55"/>
          </reference>
          <reference field="10" count="1" selected="0">
            <x v="5"/>
          </reference>
          <reference field="14" count="1">
            <x v="28"/>
          </reference>
          <reference field="18" count="1" selected="0">
            <x v="5"/>
          </reference>
        </references>
      </pivotArea>
    </format>
    <format dxfId="841">
      <pivotArea dataOnly="0" labelOnly="1" outline="0" fieldPosition="0">
        <references count="4">
          <reference field="9" count="1" selected="0">
            <x v="55"/>
          </reference>
          <reference field="10" count="1" selected="0">
            <x v="5"/>
          </reference>
          <reference field="14" count="1">
            <x v="27"/>
          </reference>
          <reference field="18" count="1" selected="0">
            <x v="6"/>
          </reference>
        </references>
      </pivotArea>
    </format>
    <format dxfId="840">
      <pivotArea dataOnly="0" labelOnly="1" outline="0" fieldPosition="0">
        <references count="4">
          <reference field="9" count="1" selected="0">
            <x v="55"/>
          </reference>
          <reference field="10" count="1" selected="0">
            <x v="5"/>
          </reference>
          <reference field="14" count="1">
            <x v="10"/>
          </reference>
          <reference field="18" count="1" selected="0">
            <x v="7"/>
          </reference>
        </references>
      </pivotArea>
    </format>
    <format dxfId="839">
      <pivotArea dataOnly="0" labelOnly="1" outline="0" fieldPosition="0">
        <references count="4">
          <reference field="9" count="1" selected="0">
            <x v="55"/>
          </reference>
          <reference field="10" count="1" selected="0">
            <x v="5"/>
          </reference>
          <reference field="14" count="1">
            <x v="17"/>
          </reference>
          <reference field="18" count="1" selected="0">
            <x v="11"/>
          </reference>
        </references>
      </pivotArea>
    </format>
    <format dxfId="838">
      <pivotArea dataOnly="0" labelOnly="1" outline="0" fieldPosition="0">
        <references count="4">
          <reference field="9" count="1" selected="0">
            <x v="55"/>
          </reference>
          <reference field="10" count="1" selected="0">
            <x v="5"/>
          </reference>
          <reference field="14" count="1">
            <x v="18"/>
          </reference>
          <reference field="18" count="1" selected="0">
            <x v="13"/>
          </reference>
        </references>
      </pivotArea>
    </format>
    <format dxfId="837">
      <pivotArea dataOnly="0" labelOnly="1" outline="0" fieldPosition="0">
        <references count="4">
          <reference field="9" count="1" selected="0">
            <x v="55"/>
          </reference>
          <reference field="10" count="1" selected="0">
            <x v="5"/>
          </reference>
          <reference field="14" count="1">
            <x v="24"/>
          </reference>
          <reference field="18" count="1" selected="0">
            <x v="19"/>
          </reference>
        </references>
      </pivotArea>
    </format>
    <format dxfId="836">
      <pivotArea dataOnly="0" labelOnly="1" outline="0" fieldPosition="0">
        <references count="4">
          <reference field="9" count="1" selected="0">
            <x v="55"/>
          </reference>
          <reference field="10" count="1" selected="0">
            <x v="5"/>
          </reference>
          <reference field="14" count="1">
            <x v="12"/>
          </reference>
          <reference field="18" count="1" selected="0">
            <x v="21"/>
          </reference>
        </references>
      </pivotArea>
    </format>
    <format dxfId="835">
      <pivotArea dataOnly="0" labelOnly="1" outline="0" fieldPosition="0">
        <references count="4">
          <reference field="9" count="1" selected="0">
            <x v="55"/>
          </reference>
          <reference field="10" count="1" selected="0">
            <x v="5"/>
          </reference>
          <reference field="14" count="1">
            <x v="21"/>
          </reference>
          <reference field="18" count="1" selected="0">
            <x v="27"/>
          </reference>
        </references>
      </pivotArea>
    </format>
    <format dxfId="834">
      <pivotArea dataOnly="0" labelOnly="1" outline="0" fieldPosition="0">
        <references count="4">
          <reference field="9" count="1" selected="0">
            <x v="56"/>
          </reference>
          <reference field="10" count="1" selected="0">
            <x v="6"/>
          </reference>
          <reference field="14" count="1">
            <x v="11"/>
          </reference>
          <reference field="18" count="1" selected="0">
            <x v="3"/>
          </reference>
        </references>
      </pivotArea>
    </format>
    <format dxfId="833">
      <pivotArea dataOnly="0" labelOnly="1" outline="0" fieldPosition="0">
        <references count="4">
          <reference field="9" count="1" selected="0">
            <x v="56"/>
          </reference>
          <reference field="10" count="1" selected="0">
            <x v="6"/>
          </reference>
          <reference field="14" count="1">
            <x v="28"/>
          </reference>
          <reference field="18" count="1" selected="0">
            <x v="5"/>
          </reference>
        </references>
      </pivotArea>
    </format>
    <format dxfId="832">
      <pivotArea dataOnly="0" labelOnly="1" outline="0" fieldPosition="0">
        <references count="4">
          <reference field="9" count="1" selected="0">
            <x v="56"/>
          </reference>
          <reference field="10" count="1" selected="0">
            <x v="6"/>
          </reference>
          <reference field="14" count="1">
            <x v="27"/>
          </reference>
          <reference field="18" count="1" selected="0">
            <x v="6"/>
          </reference>
        </references>
      </pivotArea>
    </format>
    <format dxfId="831">
      <pivotArea dataOnly="0" labelOnly="1" outline="0" fieldPosition="0">
        <references count="4">
          <reference field="9" count="1" selected="0">
            <x v="56"/>
          </reference>
          <reference field="10" count="1" selected="0">
            <x v="6"/>
          </reference>
          <reference field="14" count="1">
            <x v="10"/>
          </reference>
          <reference field="18" count="1" selected="0">
            <x v="7"/>
          </reference>
        </references>
      </pivotArea>
    </format>
    <format dxfId="830">
      <pivotArea dataOnly="0" labelOnly="1" outline="0" fieldPosition="0">
        <references count="4">
          <reference field="9" count="1" selected="0">
            <x v="56"/>
          </reference>
          <reference field="10" count="1" selected="0">
            <x v="6"/>
          </reference>
          <reference field="14" count="1">
            <x v="9"/>
          </reference>
          <reference field="18" count="1" selected="0">
            <x v="8"/>
          </reference>
        </references>
      </pivotArea>
    </format>
    <format dxfId="829">
      <pivotArea dataOnly="0" labelOnly="1" outline="0" fieldPosition="0">
        <references count="4">
          <reference field="9" count="1" selected="0">
            <x v="56"/>
          </reference>
          <reference field="10" count="1" selected="0">
            <x v="6"/>
          </reference>
          <reference field="14" count="1">
            <x v="17"/>
          </reference>
          <reference field="18" count="1" selected="0">
            <x v="11"/>
          </reference>
        </references>
      </pivotArea>
    </format>
    <format dxfId="828">
      <pivotArea dataOnly="0" labelOnly="1" outline="0" fieldPosition="0">
        <references count="4">
          <reference field="9" count="1" selected="0">
            <x v="56"/>
          </reference>
          <reference field="10" count="1" selected="0">
            <x v="6"/>
          </reference>
          <reference field="14" count="1">
            <x v="18"/>
          </reference>
          <reference field="18" count="1" selected="0">
            <x v="13"/>
          </reference>
        </references>
      </pivotArea>
    </format>
    <format dxfId="827">
      <pivotArea dataOnly="0" labelOnly="1" outline="0" fieldPosition="0">
        <references count="4">
          <reference field="9" count="1" selected="0">
            <x v="56"/>
          </reference>
          <reference field="10" count="1" selected="0">
            <x v="6"/>
          </reference>
          <reference field="14" count="1">
            <x v="7"/>
          </reference>
          <reference field="18" count="1" selected="0">
            <x v="22"/>
          </reference>
        </references>
      </pivotArea>
    </format>
    <format dxfId="826">
      <pivotArea dataOnly="0" labelOnly="1" outline="0" fieldPosition="0">
        <references count="4">
          <reference field="9" count="1" selected="0">
            <x v="56"/>
          </reference>
          <reference field="10" count="1" selected="0">
            <x v="6"/>
          </reference>
          <reference field="14" count="1">
            <x v="21"/>
          </reference>
          <reference field="18" count="1" selected="0">
            <x v="27"/>
          </reference>
        </references>
      </pivotArea>
    </format>
    <format dxfId="825">
      <pivotArea dataOnly="0" labelOnly="1" outline="0" fieldPosition="0">
        <references count="4">
          <reference field="9" count="1" selected="0">
            <x v="57"/>
          </reference>
          <reference field="10" count="1" selected="0">
            <x v="7"/>
          </reference>
          <reference field="14" count="1">
            <x v="11"/>
          </reference>
          <reference field="18" count="1" selected="0">
            <x v="3"/>
          </reference>
        </references>
      </pivotArea>
    </format>
    <format dxfId="824">
      <pivotArea dataOnly="0" labelOnly="1" outline="0" fieldPosition="0">
        <references count="4">
          <reference field="9" count="1" selected="0">
            <x v="57"/>
          </reference>
          <reference field="10" count="1" selected="0">
            <x v="7"/>
          </reference>
          <reference field="14" count="1">
            <x v="28"/>
          </reference>
          <reference field="18" count="1" selected="0">
            <x v="5"/>
          </reference>
        </references>
      </pivotArea>
    </format>
    <format dxfId="823">
      <pivotArea dataOnly="0" labelOnly="1" outline="0" fieldPosition="0">
        <references count="4">
          <reference field="9" count="1" selected="0">
            <x v="57"/>
          </reference>
          <reference field="10" count="1" selected="0">
            <x v="7"/>
          </reference>
          <reference field="14" count="1">
            <x v="27"/>
          </reference>
          <reference field="18" count="1" selected="0">
            <x v="6"/>
          </reference>
        </references>
      </pivotArea>
    </format>
    <format dxfId="822">
      <pivotArea dataOnly="0" labelOnly="1" outline="0" fieldPosition="0">
        <references count="4">
          <reference field="9" count="1" selected="0">
            <x v="57"/>
          </reference>
          <reference field="10" count="1" selected="0">
            <x v="7"/>
          </reference>
          <reference field="14" count="1">
            <x v="10"/>
          </reference>
          <reference field="18" count="1" selected="0">
            <x v="7"/>
          </reference>
        </references>
      </pivotArea>
    </format>
    <format dxfId="821">
      <pivotArea dataOnly="0" labelOnly="1" outline="0" fieldPosition="0">
        <references count="4">
          <reference field="9" count="1" selected="0">
            <x v="57"/>
          </reference>
          <reference field="10" count="1" selected="0">
            <x v="7"/>
          </reference>
          <reference field="14" count="1">
            <x v="17"/>
          </reference>
          <reference field="18" count="1" selected="0">
            <x v="11"/>
          </reference>
        </references>
      </pivotArea>
    </format>
    <format dxfId="820">
      <pivotArea dataOnly="0" labelOnly="1" outline="0" fieldPosition="0">
        <references count="4">
          <reference field="9" count="1" selected="0">
            <x v="57"/>
          </reference>
          <reference field="10" count="1" selected="0">
            <x v="7"/>
          </reference>
          <reference field="14" count="1">
            <x v="18"/>
          </reference>
          <reference field="18" count="1" selected="0">
            <x v="13"/>
          </reference>
        </references>
      </pivotArea>
    </format>
    <format dxfId="819">
      <pivotArea dataOnly="0" labelOnly="1" outline="0" fieldPosition="0">
        <references count="4">
          <reference field="9" count="1" selected="0">
            <x v="57"/>
          </reference>
          <reference field="10" count="1" selected="0">
            <x v="7"/>
          </reference>
          <reference field="14" count="1">
            <x v="15"/>
          </reference>
          <reference field="18" count="1" selected="0">
            <x v="15"/>
          </reference>
        </references>
      </pivotArea>
    </format>
    <format dxfId="818">
      <pivotArea dataOnly="0" labelOnly="1" outline="0" fieldPosition="0">
        <references count="4">
          <reference field="9" count="1" selected="0">
            <x v="57"/>
          </reference>
          <reference field="10" count="1" selected="0">
            <x v="7"/>
          </reference>
          <reference field="14" count="1">
            <x v="19"/>
          </reference>
          <reference field="18" count="1" selected="0">
            <x v="16"/>
          </reference>
        </references>
      </pivotArea>
    </format>
    <format dxfId="817">
      <pivotArea dataOnly="0" labelOnly="1" outline="0" fieldPosition="0">
        <references count="4">
          <reference field="9" count="1" selected="0">
            <x v="57"/>
          </reference>
          <reference field="10" count="1" selected="0">
            <x v="7"/>
          </reference>
          <reference field="14" count="1">
            <x v="7"/>
          </reference>
          <reference field="18" count="1" selected="0">
            <x v="22"/>
          </reference>
        </references>
      </pivotArea>
    </format>
    <format dxfId="816">
      <pivotArea dataOnly="0" labelOnly="1" outline="0" fieldPosition="0">
        <references count="4">
          <reference field="9" count="1" selected="0">
            <x v="57"/>
          </reference>
          <reference field="10" count="1" selected="0">
            <x v="7"/>
          </reference>
          <reference field="14" count="1">
            <x v="21"/>
          </reference>
          <reference field="18" count="1" selected="0">
            <x v="27"/>
          </reference>
        </references>
      </pivotArea>
    </format>
    <format dxfId="815">
      <pivotArea dataOnly="0" labelOnly="1" outline="0" fieldPosition="0">
        <references count="4">
          <reference field="9" count="1" selected="0">
            <x v="58"/>
          </reference>
          <reference field="10" count="1" selected="0">
            <x v="0"/>
          </reference>
          <reference field="14" count="1">
            <x v="4"/>
          </reference>
          <reference field="18" count="1" selected="0">
            <x v="0"/>
          </reference>
        </references>
      </pivotArea>
    </format>
    <format dxfId="814">
      <pivotArea dataOnly="0" labelOnly="1" outline="0" fieldPosition="0">
        <references count="4">
          <reference field="9" count="1" selected="0">
            <x v="58"/>
          </reference>
          <reference field="10" count="1" selected="0">
            <x v="0"/>
          </reference>
          <reference field="14" count="1">
            <x v="11"/>
          </reference>
          <reference field="18" count="1" selected="0">
            <x v="3"/>
          </reference>
        </references>
      </pivotArea>
    </format>
    <format dxfId="813">
      <pivotArea dataOnly="0" labelOnly="1" outline="0" fieldPosition="0">
        <references count="4">
          <reference field="9" count="1" selected="0">
            <x v="58"/>
          </reference>
          <reference field="10" count="1" selected="0">
            <x v="0"/>
          </reference>
          <reference field="14" count="1">
            <x v="28"/>
          </reference>
          <reference field="18" count="1" selected="0">
            <x v="5"/>
          </reference>
        </references>
      </pivotArea>
    </format>
    <format dxfId="812">
      <pivotArea dataOnly="0" labelOnly="1" outline="0" fieldPosition="0">
        <references count="4">
          <reference field="9" count="1" selected="0">
            <x v="58"/>
          </reference>
          <reference field="10" count="1" selected="0">
            <x v="0"/>
          </reference>
          <reference field="14" count="1">
            <x v="9"/>
          </reference>
          <reference field="18" count="1" selected="0">
            <x v="8"/>
          </reference>
        </references>
      </pivotArea>
    </format>
    <format dxfId="811">
      <pivotArea dataOnly="0" labelOnly="1" outline="0" fieldPosition="0">
        <references count="4">
          <reference field="9" count="1" selected="0">
            <x v="58"/>
          </reference>
          <reference field="10" count="1" selected="0">
            <x v="0"/>
          </reference>
          <reference field="14" count="1">
            <x v="8"/>
          </reference>
          <reference field="18" count="1" selected="0">
            <x v="9"/>
          </reference>
        </references>
      </pivotArea>
    </format>
    <format dxfId="810">
      <pivotArea dataOnly="0" labelOnly="1" outline="0" fieldPosition="0">
        <references count="4">
          <reference field="9" count="1" selected="0">
            <x v="58"/>
          </reference>
          <reference field="10" count="1" selected="0">
            <x v="0"/>
          </reference>
          <reference field="14" count="1">
            <x v="16"/>
          </reference>
          <reference field="18" count="1" selected="0">
            <x v="12"/>
          </reference>
        </references>
      </pivotArea>
    </format>
    <format dxfId="809">
      <pivotArea dataOnly="0" labelOnly="1" outline="0" fieldPosition="0">
        <references count="4">
          <reference field="9" count="1" selected="0">
            <x v="58"/>
          </reference>
          <reference field="10" count="1" selected="0">
            <x v="0"/>
          </reference>
          <reference field="14" count="1">
            <x v="14"/>
          </reference>
          <reference field="18" count="1" selected="0">
            <x v="18"/>
          </reference>
        </references>
      </pivotArea>
    </format>
    <format dxfId="808">
      <pivotArea dataOnly="0" labelOnly="1" outline="0" fieldPosition="0">
        <references count="4">
          <reference field="9" count="1" selected="0">
            <x v="58"/>
          </reference>
          <reference field="10" count="1" selected="0">
            <x v="0"/>
          </reference>
          <reference field="14" count="1">
            <x v="24"/>
          </reference>
          <reference field="18" count="1" selected="0">
            <x v="19"/>
          </reference>
        </references>
      </pivotArea>
    </format>
    <format dxfId="807">
      <pivotArea dataOnly="0" labelOnly="1" outline="0" fieldPosition="0">
        <references count="4">
          <reference field="9" count="1" selected="0">
            <x v="58"/>
          </reference>
          <reference field="10" count="1" selected="0">
            <x v="0"/>
          </reference>
          <reference field="14" count="1">
            <x v="7"/>
          </reference>
          <reference field="18" count="1" selected="0">
            <x v="22"/>
          </reference>
        </references>
      </pivotArea>
    </format>
    <format dxfId="806">
      <pivotArea dataOnly="0" labelOnly="1" outline="0" fieldPosition="0">
        <references count="4">
          <reference field="9" count="1" selected="0">
            <x v="58"/>
          </reference>
          <reference field="10" count="1" selected="0">
            <x v="0"/>
          </reference>
          <reference field="14" count="1">
            <x v="22"/>
          </reference>
          <reference field="18" count="1" selected="0">
            <x v="25"/>
          </reference>
        </references>
      </pivotArea>
    </format>
    <format dxfId="805">
      <pivotArea dataOnly="0" labelOnly="1" outline="0" fieldPosition="0">
        <references count="4">
          <reference field="9" count="1" selected="0">
            <x v="58"/>
          </reference>
          <reference field="10" count="1" selected="0">
            <x v="0"/>
          </reference>
          <reference field="14" count="1">
            <x v="5"/>
          </reference>
          <reference field="18" count="1" selected="0">
            <x v="28"/>
          </reference>
        </references>
      </pivotArea>
    </format>
    <format dxfId="804">
      <pivotArea dataOnly="0" labelOnly="1" outline="0" fieldPosition="0">
        <references count="4">
          <reference field="9" count="1" selected="0">
            <x v="59"/>
          </reference>
          <reference field="10" count="1" selected="0">
            <x v="1"/>
          </reference>
          <reference field="14" count="1">
            <x v="11"/>
          </reference>
          <reference field="18" count="1" selected="0">
            <x v="3"/>
          </reference>
        </references>
      </pivotArea>
    </format>
    <format dxfId="803">
      <pivotArea dataOnly="0" labelOnly="1" outline="0" fieldPosition="0">
        <references count="4">
          <reference field="9" count="1" selected="0">
            <x v="59"/>
          </reference>
          <reference field="10" count="1" selected="0">
            <x v="1"/>
          </reference>
          <reference field="14" count="1">
            <x v="6"/>
          </reference>
          <reference field="18" count="1" selected="0">
            <x v="4"/>
          </reference>
        </references>
      </pivotArea>
    </format>
    <format dxfId="802">
      <pivotArea dataOnly="0" labelOnly="1" outline="0" fieldPosition="0">
        <references count="4">
          <reference field="9" count="1" selected="0">
            <x v="59"/>
          </reference>
          <reference field="10" count="1" selected="0">
            <x v="1"/>
          </reference>
          <reference field="14" count="1">
            <x v="9"/>
          </reference>
          <reference field="18" count="1" selected="0">
            <x v="8"/>
          </reference>
        </references>
      </pivotArea>
    </format>
    <format dxfId="801">
      <pivotArea dataOnly="0" labelOnly="1" outline="0" fieldPosition="0">
        <references count="4">
          <reference field="9" count="1" selected="0">
            <x v="59"/>
          </reference>
          <reference field="10" count="1" selected="0">
            <x v="1"/>
          </reference>
          <reference field="14" count="1">
            <x v="8"/>
          </reference>
          <reference field="18" count="1" selected="0">
            <x v="9"/>
          </reference>
        </references>
      </pivotArea>
    </format>
    <format dxfId="800">
      <pivotArea dataOnly="0" labelOnly="1" outline="0" fieldPosition="0">
        <references count="4">
          <reference field="9" count="1" selected="0">
            <x v="59"/>
          </reference>
          <reference field="10" count="1" selected="0">
            <x v="1"/>
          </reference>
          <reference field="14" count="1">
            <x v="16"/>
          </reference>
          <reference field="18" count="1" selected="0">
            <x v="12"/>
          </reference>
        </references>
      </pivotArea>
    </format>
    <format dxfId="799">
      <pivotArea dataOnly="0" labelOnly="1" outline="0" fieldPosition="0">
        <references count="4">
          <reference field="9" count="1" selected="0">
            <x v="59"/>
          </reference>
          <reference field="10" count="1" selected="0">
            <x v="1"/>
          </reference>
          <reference field="14" count="1">
            <x v="24"/>
          </reference>
          <reference field="18" count="1" selected="0">
            <x v="19"/>
          </reference>
        </references>
      </pivotArea>
    </format>
    <format dxfId="798">
      <pivotArea dataOnly="0" labelOnly="1" outline="0" fieldPosition="0">
        <references count="4">
          <reference field="9" count="1" selected="0">
            <x v="59"/>
          </reference>
          <reference field="10" count="1" selected="0">
            <x v="1"/>
          </reference>
          <reference field="14" count="1">
            <x v="7"/>
          </reference>
          <reference field="18" count="1" selected="0">
            <x v="22"/>
          </reference>
        </references>
      </pivotArea>
    </format>
    <format dxfId="797">
      <pivotArea dataOnly="0" labelOnly="1" outline="0" fieldPosition="0">
        <references count="4">
          <reference field="9" count="1" selected="0">
            <x v="59"/>
          </reference>
          <reference field="10" count="1" selected="0">
            <x v="1"/>
          </reference>
          <reference field="14" count="1">
            <x v="5"/>
          </reference>
          <reference field="18" count="1" selected="0">
            <x v="28"/>
          </reference>
        </references>
      </pivotArea>
    </format>
    <format dxfId="796">
      <pivotArea dataOnly="0" labelOnly="1" outline="0" fieldPosition="0">
        <references count="4">
          <reference field="9" count="1" selected="0">
            <x v="59"/>
          </reference>
          <reference field="10" count="1" selected="0">
            <x v="1"/>
          </reference>
          <reference field="14" count="1">
            <x v="26"/>
          </reference>
          <reference field="18" count="1" selected="0">
            <x v="30"/>
          </reference>
        </references>
      </pivotArea>
    </format>
    <format dxfId="795">
      <pivotArea dataOnly="0" labelOnly="1" outline="0" fieldPosition="0">
        <references count="4">
          <reference field="9" count="1" selected="0">
            <x v="60"/>
          </reference>
          <reference field="10" count="1" selected="0">
            <x v="2"/>
          </reference>
          <reference field="14" count="1">
            <x v="6"/>
          </reference>
          <reference field="18" count="1" selected="0">
            <x v="4"/>
          </reference>
        </references>
      </pivotArea>
    </format>
    <format dxfId="794">
      <pivotArea dataOnly="0" labelOnly="1" outline="0" fieldPosition="0">
        <references count="4">
          <reference field="9" count="1" selected="0">
            <x v="60"/>
          </reference>
          <reference field="10" count="1" selected="0">
            <x v="2"/>
          </reference>
          <reference field="14" count="1">
            <x v="28"/>
          </reference>
          <reference field="18" count="1" selected="0">
            <x v="5"/>
          </reference>
        </references>
      </pivotArea>
    </format>
    <format dxfId="793">
      <pivotArea dataOnly="0" labelOnly="1" outline="0" fieldPosition="0">
        <references count="4">
          <reference field="9" count="1" selected="0">
            <x v="60"/>
          </reference>
          <reference field="10" count="1" selected="0">
            <x v="2"/>
          </reference>
          <reference field="14" count="1">
            <x v="27"/>
          </reference>
          <reference field="18" count="1" selected="0">
            <x v="6"/>
          </reference>
        </references>
      </pivotArea>
    </format>
    <format dxfId="792">
      <pivotArea dataOnly="0" labelOnly="1" outline="0" fieldPosition="0">
        <references count="4">
          <reference field="9" count="1" selected="0">
            <x v="60"/>
          </reference>
          <reference field="10" count="1" selected="0">
            <x v="2"/>
          </reference>
          <reference field="14" count="1">
            <x v="9"/>
          </reference>
          <reference field="18" count="1" selected="0">
            <x v="8"/>
          </reference>
        </references>
      </pivotArea>
    </format>
    <format dxfId="791">
      <pivotArea dataOnly="0" labelOnly="1" outline="0" fieldPosition="0">
        <references count="4">
          <reference field="9" count="1" selected="0">
            <x v="60"/>
          </reference>
          <reference field="10" count="1" selected="0">
            <x v="2"/>
          </reference>
          <reference field="14" count="1">
            <x v="16"/>
          </reference>
          <reference field="18" count="1" selected="0">
            <x v="12"/>
          </reference>
        </references>
      </pivotArea>
    </format>
    <format dxfId="790">
      <pivotArea dataOnly="0" labelOnly="1" outline="0" fieldPosition="0">
        <references count="4">
          <reference field="9" count="1" selected="0">
            <x v="60"/>
          </reference>
          <reference field="10" count="1" selected="0">
            <x v="2"/>
          </reference>
          <reference field="14" count="1">
            <x v="24"/>
          </reference>
          <reference field="18" count="1" selected="0">
            <x v="19"/>
          </reference>
        </references>
      </pivotArea>
    </format>
    <format dxfId="789">
      <pivotArea dataOnly="0" labelOnly="1" outline="0" fieldPosition="0">
        <references count="4">
          <reference field="9" count="1" selected="0">
            <x v="60"/>
          </reference>
          <reference field="10" count="1" selected="0">
            <x v="2"/>
          </reference>
          <reference field="14" count="1">
            <x v="7"/>
          </reference>
          <reference field="18" count="1" selected="0">
            <x v="22"/>
          </reference>
        </references>
      </pivotArea>
    </format>
    <format dxfId="788">
      <pivotArea dataOnly="0" labelOnly="1" outline="0" fieldPosition="0">
        <references count="4">
          <reference field="9" count="1" selected="0">
            <x v="60"/>
          </reference>
          <reference field="10" count="1" selected="0">
            <x v="2"/>
          </reference>
          <reference field="14" count="1">
            <x v="22"/>
          </reference>
          <reference field="18" count="1" selected="0">
            <x v="25"/>
          </reference>
        </references>
      </pivotArea>
    </format>
    <format dxfId="787">
      <pivotArea dataOnly="0" labelOnly="1" outline="0" fieldPosition="0">
        <references count="4">
          <reference field="9" count="1" selected="0">
            <x v="60"/>
          </reference>
          <reference field="10" count="1" selected="0">
            <x v="2"/>
          </reference>
          <reference field="14" count="1">
            <x v="5"/>
          </reference>
          <reference field="18" count="1" selected="0">
            <x v="28"/>
          </reference>
        </references>
      </pivotArea>
    </format>
    <format dxfId="786">
      <pivotArea dataOnly="0" labelOnly="1" outline="0" fieldPosition="0">
        <references count="4">
          <reference field="9" count="1" selected="0">
            <x v="61"/>
          </reference>
          <reference field="10" count="1" selected="0">
            <x v="3"/>
          </reference>
          <reference field="14" count="1">
            <x v="4"/>
          </reference>
          <reference field="18" count="1" selected="0">
            <x v="0"/>
          </reference>
        </references>
      </pivotArea>
    </format>
    <format dxfId="785">
      <pivotArea dataOnly="0" labelOnly="1" outline="0" fieldPosition="0">
        <references count="4">
          <reference field="9" count="1" selected="0">
            <x v="61"/>
          </reference>
          <reference field="10" count="1" selected="0">
            <x v="3"/>
          </reference>
          <reference field="14" count="1">
            <x v="11"/>
          </reference>
          <reference field="18" count="1" selected="0">
            <x v="3"/>
          </reference>
        </references>
      </pivotArea>
    </format>
    <format dxfId="784">
      <pivotArea dataOnly="0" labelOnly="1" outline="0" fieldPosition="0">
        <references count="4">
          <reference field="9" count="1" selected="0">
            <x v="61"/>
          </reference>
          <reference field="10" count="1" selected="0">
            <x v="3"/>
          </reference>
          <reference field="14" count="1">
            <x v="6"/>
          </reference>
          <reference field="18" count="1" selected="0">
            <x v="4"/>
          </reference>
        </references>
      </pivotArea>
    </format>
    <format dxfId="783">
      <pivotArea dataOnly="0" labelOnly="1" outline="0" fieldPosition="0">
        <references count="4">
          <reference field="9" count="1" selected="0">
            <x v="61"/>
          </reference>
          <reference field="10" count="1" selected="0">
            <x v="3"/>
          </reference>
          <reference field="14" count="1">
            <x v="9"/>
          </reference>
          <reference field="18" count="1" selected="0">
            <x v="8"/>
          </reference>
        </references>
      </pivotArea>
    </format>
    <format dxfId="782">
      <pivotArea dataOnly="0" labelOnly="1" outline="0" fieldPosition="0">
        <references count="4">
          <reference field="9" count="1" selected="0">
            <x v="61"/>
          </reference>
          <reference field="10" count="1" selected="0">
            <x v="3"/>
          </reference>
          <reference field="14" count="1">
            <x v="8"/>
          </reference>
          <reference field="18" count="1" selected="0">
            <x v="9"/>
          </reference>
        </references>
      </pivotArea>
    </format>
    <format dxfId="781">
      <pivotArea dataOnly="0" labelOnly="1" outline="0" fieldPosition="0">
        <references count="4">
          <reference field="9" count="1" selected="0">
            <x v="61"/>
          </reference>
          <reference field="10" count="1" selected="0">
            <x v="3"/>
          </reference>
          <reference field="14" count="1">
            <x v="16"/>
          </reference>
          <reference field="18" count="1" selected="0">
            <x v="12"/>
          </reference>
        </references>
      </pivotArea>
    </format>
    <format dxfId="780">
      <pivotArea dataOnly="0" labelOnly="1" outline="0" fieldPosition="0">
        <references count="4">
          <reference field="9" count="1" selected="0">
            <x v="61"/>
          </reference>
          <reference field="10" count="1" selected="0">
            <x v="3"/>
          </reference>
          <reference field="14" count="1">
            <x v="24"/>
          </reference>
          <reference field="18" count="1" selected="0">
            <x v="19"/>
          </reference>
        </references>
      </pivotArea>
    </format>
    <format dxfId="779">
      <pivotArea dataOnly="0" labelOnly="1" outline="0" fieldPosition="0">
        <references count="4">
          <reference field="9" count="1" selected="0">
            <x v="61"/>
          </reference>
          <reference field="10" count="1" selected="0">
            <x v="3"/>
          </reference>
          <reference field="14" count="1">
            <x v="7"/>
          </reference>
          <reference field="18" count="1" selected="0">
            <x v="22"/>
          </reference>
        </references>
      </pivotArea>
    </format>
    <format dxfId="778">
      <pivotArea dataOnly="0" labelOnly="1" outline="0" fieldPosition="0">
        <references count="4">
          <reference field="9" count="1" selected="0">
            <x v="61"/>
          </reference>
          <reference field="10" count="1" selected="0">
            <x v="3"/>
          </reference>
          <reference field="14" count="1">
            <x v="23"/>
          </reference>
          <reference field="18" count="1" selected="0">
            <x v="24"/>
          </reference>
        </references>
      </pivotArea>
    </format>
    <format dxfId="777">
      <pivotArea dataOnly="0" labelOnly="1" outline="0" fieldPosition="0">
        <references count="4">
          <reference field="9" count="1" selected="0">
            <x v="61"/>
          </reference>
          <reference field="10" count="1" selected="0">
            <x v="3"/>
          </reference>
          <reference field="14" count="1">
            <x v="22"/>
          </reference>
          <reference field="18" count="1" selected="0">
            <x v="25"/>
          </reference>
        </references>
      </pivotArea>
    </format>
    <format dxfId="776">
      <pivotArea dataOnly="0" labelOnly="1" outline="0" fieldPosition="0">
        <references count="4">
          <reference field="9" count="1" selected="0">
            <x v="61"/>
          </reference>
          <reference field="10" count="1" selected="0">
            <x v="3"/>
          </reference>
          <reference field="14" count="1">
            <x v="5"/>
          </reference>
          <reference field="18" count="1" selected="0">
            <x v="28"/>
          </reference>
        </references>
      </pivotArea>
    </format>
    <format dxfId="775">
      <pivotArea dataOnly="0" labelOnly="1" outline="0" fieldPosition="0">
        <references count="4">
          <reference field="9" count="1" selected="0">
            <x v="61"/>
          </reference>
          <reference field="10" count="1" selected="0">
            <x v="3"/>
          </reference>
          <reference field="14" count="1">
            <x v="26"/>
          </reference>
          <reference field="18" count="1" selected="0">
            <x v="30"/>
          </reference>
        </references>
      </pivotArea>
    </format>
    <format dxfId="774">
      <pivotArea dataOnly="0" labelOnly="1" outline="0" fieldPosition="0">
        <references count="4">
          <reference field="9" count="1" selected="0">
            <x v="62"/>
          </reference>
          <reference field="10" count="1" selected="0">
            <x v="8"/>
          </reference>
          <reference field="14" count="1">
            <x v="27"/>
          </reference>
          <reference field="18" count="1" selected="0">
            <x v="6"/>
          </reference>
        </references>
      </pivotArea>
    </format>
    <format dxfId="773">
      <pivotArea dataOnly="0" labelOnly="1" outline="0" fieldPosition="0">
        <references count="4">
          <reference field="9" count="1" selected="0">
            <x v="62"/>
          </reference>
          <reference field="10" count="1" selected="0">
            <x v="8"/>
          </reference>
          <reference field="14" count="1">
            <x v="7"/>
          </reference>
          <reference field="18" count="1" selected="0">
            <x v="22"/>
          </reference>
        </references>
      </pivotArea>
    </format>
    <format dxfId="772">
      <pivotArea type="topRight" dataOnly="0" labelOnly="1" outline="0" fieldPosition="0"/>
    </format>
    <format dxfId="771">
      <pivotArea field="18" type="button" dataOnly="0" labelOnly="1" outline="0" axis="axisRow" fieldPosition="2"/>
    </format>
    <format dxfId="770">
      <pivotArea outline="0" collapsedLevelsAreSubtotals="1" fieldPosition="0"/>
    </format>
    <format dxfId="769">
      <pivotArea dataOnly="0" labelOnly="1" outline="0" fieldPosition="0">
        <references count="1">
          <reference field="18" count="0"/>
        </references>
      </pivotArea>
    </format>
    <format dxfId="768">
      <pivotArea field="2" type="button" dataOnly="0" labelOnly="1" outline="0"/>
    </format>
    <format dxfId="767">
      <pivotArea field="9" type="button" dataOnly="0" labelOnly="1" outline="0" axis="axisRow" fieldPosition="0"/>
    </format>
    <format dxfId="766">
      <pivotArea field="10" type="button" dataOnly="0" labelOnly="1" outline="0" axis="axisRow" fieldPosition="1"/>
    </format>
    <format dxfId="765">
      <pivotArea field="18" type="button" dataOnly="0" labelOnly="1" outline="0" axis="axisRow" fieldPosition="2"/>
    </format>
    <format dxfId="764">
      <pivotArea field="14" type="button" dataOnly="0" labelOnly="1" outline="0" axis="axisRow" fieldPosition="3"/>
    </format>
    <format dxfId="763">
      <pivotArea field="69" type="button" dataOnly="0" labelOnly="1" outline="0"/>
    </format>
    <format dxfId="762">
      <pivotArea field="16" type="button" dataOnly="0" labelOnly="1" outline="0" axis="axisRow" fieldPosition="4"/>
    </format>
    <format dxfId="761">
      <pivotArea type="all" dataOnly="0" outline="0" fieldPosition="0"/>
    </format>
    <format dxfId="760">
      <pivotArea outline="0" collapsedLevelsAreSubtotals="1" fieldPosition="0"/>
    </format>
    <format dxfId="759">
      <pivotArea type="origin" dataOnly="0" labelOnly="1" outline="0" fieldPosition="0"/>
    </format>
    <format dxfId="758">
      <pivotArea field="2" type="button" dataOnly="0" labelOnly="1" outline="0"/>
    </format>
    <format dxfId="757">
      <pivotArea field="9" type="button" dataOnly="0" labelOnly="1" outline="0" axis="axisRow" fieldPosition="0"/>
    </format>
    <format dxfId="756">
      <pivotArea field="10" type="button" dataOnly="0" labelOnly="1" outline="0" axis="axisRow" fieldPosition="1"/>
    </format>
    <format dxfId="755">
      <pivotArea field="18" type="button" dataOnly="0" labelOnly="1" outline="0" axis="axisRow" fieldPosition="2"/>
    </format>
    <format dxfId="754">
      <pivotArea field="14" type="button" dataOnly="0" labelOnly="1" outline="0" axis="axisRow" fieldPosition="3"/>
    </format>
    <format dxfId="753">
      <pivotArea field="69" type="button" dataOnly="0" labelOnly="1" outline="0"/>
    </format>
    <format dxfId="752">
      <pivotArea field="16" type="button" dataOnly="0" labelOnly="1" outline="0" axis="axisRow" fieldPosition="4"/>
    </format>
    <format dxfId="751">
      <pivotArea dataOnly="0" labelOnly="1" grandRow="1" outline="0" fieldPosition="0"/>
    </format>
    <format dxfId="750">
      <pivotArea type="topRight" dataOnly="0" labelOnly="1" outline="0" fieldPosition="0"/>
    </format>
    <format dxfId="749">
      <pivotArea type="all" dataOnly="0" outline="0" fieldPosition="0"/>
    </format>
    <format dxfId="748">
      <pivotArea outline="0" collapsedLevelsAreSubtotals="1" fieldPosition="0"/>
    </format>
    <format dxfId="747">
      <pivotArea type="origin" dataOnly="0" labelOnly="1" outline="0" fieldPosition="0"/>
    </format>
    <format dxfId="746">
      <pivotArea field="2" type="button" dataOnly="0" labelOnly="1" outline="0"/>
    </format>
    <format dxfId="745">
      <pivotArea field="9" type="button" dataOnly="0" labelOnly="1" outline="0" axis="axisRow" fieldPosition="0"/>
    </format>
    <format dxfId="744">
      <pivotArea field="10" type="button" dataOnly="0" labelOnly="1" outline="0" axis="axisRow" fieldPosition="1"/>
    </format>
    <format dxfId="743">
      <pivotArea field="18" type="button" dataOnly="0" labelOnly="1" outline="0" axis="axisRow" fieldPosition="2"/>
    </format>
    <format dxfId="742">
      <pivotArea field="14" type="button" dataOnly="0" labelOnly="1" outline="0" axis="axisRow" fieldPosition="3"/>
    </format>
    <format dxfId="741">
      <pivotArea field="69" type="button" dataOnly="0" labelOnly="1" outline="0"/>
    </format>
    <format dxfId="740">
      <pivotArea field="16" type="button" dataOnly="0" labelOnly="1" outline="0" axis="axisRow" fieldPosition="4"/>
    </format>
    <format dxfId="739">
      <pivotArea dataOnly="0" labelOnly="1" grandRow="1" outline="0" fieldPosition="0"/>
    </format>
    <format dxfId="738">
      <pivotArea type="topRight" dataOnly="0" labelOnly="1" outline="0" fieldPosition="0"/>
    </format>
    <format dxfId="737">
      <pivotArea type="origin" dataOnly="0" labelOnly="1" outline="0" fieldPosition="0"/>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DiferenciaPrecio" cacheId="0" applyNumberFormats="0" applyBorderFormats="0" applyFontFormats="0" applyPatternFormats="0" applyAlignmentFormats="0" applyWidthHeightFormats="1" dataCaption="Valores" updatedVersion="6" minRefreshableVersion="3" itemPrintTitles="1" createdVersion="7" indent="0" compact="0" compactData="0" gridDropZones="1" multipleFieldFilters="0">
  <location ref="B5:G7" firstHeaderRow="2" firstDataRow="2" firstDataCol="5" rowPageCount="1" colPageCount="1"/>
  <pivotFields count="72">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4">
        <item m="1" x="3"/>
        <item m="1" x="2"/>
        <item m="1" x="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7">
        <item m="1" x="3"/>
        <item m="1" x="4"/>
        <item m="1" x="1"/>
        <item m="1" x="2"/>
        <item m="1" x="6"/>
        <item m="1" x="5"/>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name="Pedido" axis="axisRow" compact="0" outline="0" subtotalTop="0" showAll="0" defaultSubtotal="0">
      <items count="85">
        <item m="1" x="41"/>
        <item m="1" x="5"/>
        <item m="1" x="57"/>
        <item m="1" x="20"/>
        <item m="1" x="30"/>
        <item m="1" x="31"/>
        <item m="1" x="17"/>
        <item m="1" x="54"/>
        <item m="1" x="80"/>
        <item m="1" x="65"/>
        <item m="1" x="3"/>
        <item m="1" x="56"/>
        <item m="1" x="9"/>
        <item m="1" x="77"/>
        <item m="1" x="73"/>
        <item m="1" x="76"/>
        <item m="1" x="10"/>
        <item m="1" x="67"/>
        <item m="1" x="6"/>
        <item m="1" x="49"/>
        <item m="1" x="44"/>
        <item m="1" x="35"/>
        <item m="1" x="4"/>
        <item m="1" x="68"/>
        <item m="1" x="22"/>
        <item m="1" x="52"/>
        <item m="1" x="21"/>
        <item m="1" x="47"/>
        <item m="1" x="8"/>
        <item m="1" x="43"/>
        <item m="1" x="84"/>
        <item m="1" x="82"/>
        <item m="1" x="53"/>
        <item m="1" x="38"/>
        <item m="1" x="46"/>
        <item m="1" x="59"/>
        <item m="1" x="2"/>
        <item m="1" x="58"/>
        <item m="1" x="83"/>
        <item m="1" x="45"/>
        <item m="1" x="62"/>
        <item m="1" x="34"/>
        <item m="1" x="29"/>
        <item m="1" x="15"/>
        <item m="1" x="19"/>
        <item m="1" x="33"/>
        <item m="1" x="40"/>
        <item m="1" x="37"/>
        <item m="1" x="39"/>
        <item m="1" x="69"/>
        <item m="1" x="32"/>
        <item m="1" x="26"/>
        <item m="1" x="11"/>
        <item m="1" x="7"/>
        <item m="1" x="16"/>
        <item m="1" x="64"/>
        <item m="1" x="74"/>
        <item m="1" x="63"/>
        <item m="1" x="28"/>
        <item m="1" x="75"/>
        <item m="1" x="27"/>
        <item m="1" x="13"/>
        <item m="1" x="48"/>
        <item m="1" x="66"/>
        <item m="1" x="14"/>
        <item m="1" x="70"/>
        <item m="1" x="25"/>
        <item m="1" x="79"/>
        <item m="1" x="72"/>
        <item m="1" x="24"/>
        <item m="1" x="60"/>
        <item m="1" x="12"/>
        <item m="1" x="71"/>
        <item m="1" x="18"/>
        <item m="1" x="55"/>
        <item m="1" x="51"/>
        <item m="1" x="1"/>
        <item m="1" x="81"/>
        <item m="1" x="78"/>
        <item m="1" x="36"/>
        <item m="1" x="50"/>
        <item m="1" x="61"/>
        <item m="1" x="23"/>
        <item m="1" x="42"/>
        <item x="0"/>
      </items>
      <extLst>
        <ext xmlns:x14="http://schemas.microsoft.com/office/spreadsheetml/2009/9/main" uri="{2946ED86-A175-432a-8AC1-64E0C546D7DE}">
          <x14:pivotField fillDownLabels="1"/>
        </ext>
      </extLst>
    </pivotField>
    <pivotField name="Orden de Compra" axis="axisRow" compact="0" outline="0" subtotalTop="0" showAll="0" defaultSubtotal="0">
      <items count="83">
        <item m="1" x="11"/>
        <item m="1" x="35"/>
        <item m="1" x="49"/>
        <item m="1" x="71"/>
        <item m="1" x="64"/>
        <item m="1" x="81"/>
        <item m="1" x="20"/>
        <item m="1" x="2"/>
        <item m="1" x="15"/>
        <item m="1" x="25"/>
        <item m="1" x="26"/>
        <item m="1" x="27"/>
        <item m="1" x="28"/>
        <item m="1" x="66"/>
        <item m="1" x="67"/>
        <item m="1" x="68"/>
        <item m="1" x="69"/>
        <item m="1" x="34"/>
        <item m="1" x="36"/>
        <item m="1" x="38"/>
        <item m="1" x="39"/>
        <item m="1" x="7"/>
        <item m="1" x="10"/>
        <item m="1" x="52"/>
        <item m="1" x="54"/>
        <item m="1" x="73"/>
        <item m="1" x="76"/>
        <item m="1" x="77"/>
        <item m="1" x="80"/>
        <item m="1" x="12"/>
        <item m="1" x="55"/>
        <item m="1" x="56"/>
        <item m="1" x="57"/>
        <item m="1" x="44"/>
        <item m="1" x="46"/>
        <item m="1" x="16"/>
        <item m="1" x="17"/>
        <item m="1" x="45"/>
        <item m="1" x="48"/>
        <item m="1" x="50"/>
        <item m="1" x="51"/>
        <item m="1" x="13"/>
        <item m="1" x="14"/>
        <item m="1" x="59"/>
        <item m="1" x="61"/>
        <item m="1" x="1"/>
        <item m="1" x="3"/>
        <item m="1" x="4"/>
        <item m="1" x="47"/>
        <item m="1" x="22"/>
        <item m="1" x="23"/>
        <item m="1" x="72"/>
        <item m="1" x="74"/>
        <item m="1" x="78"/>
        <item m="1" x="37"/>
        <item m="1" x="58"/>
        <item m="1" x="60"/>
        <item m="1" x="8"/>
        <item m="1" x="9"/>
        <item m="1" x="30"/>
        <item m="1" x="82"/>
        <item m="1" x="75"/>
        <item m="1" x="41"/>
        <item m="1" x="62"/>
        <item m="1" x="31"/>
        <item m="1" x="79"/>
        <item m="1" x="18"/>
        <item m="1" x="29"/>
        <item m="1" x="32"/>
        <item m="1" x="5"/>
        <item m="1" x="19"/>
        <item m="1" x="33"/>
        <item m="1" x="24"/>
        <item m="1" x="65"/>
        <item m="1" x="63"/>
        <item m="1" x="43"/>
        <item m="1" x="42"/>
        <item m="1" x="40"/>
        <item m="1" x="53"/>
        <item m="1" x="6"/>
        <item m="1" x="70"/>
        <item m="1" x="2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61">
        <item m="1" x="10"/>
        <item m="1" x="60"/>
        <item m="1" x="32"/>
        <item m="1" x="44"/>
        <item m="1" x="59"/>
        <item m="1" x="4"/>
        <item m="1" x="3"/>
        <item m="1" x="26"/>
        <item m="1" x="16"/>
        <item m="1" x="24"/>
        <item m="1" x="55"/>
        <item m="1" x="37"/>
        <item m="1" x="7"/>
        <item m="1" x="42"/>
        <item m="1" x="45"/>
        <item m="1" x="41"/>
        <item m="1" x="31"/>
        <item m="1" x="40"/>
        <item m="1" x="25"/>
        <item m="1" x="30"/>
        <item m="1" x="39"/>
        <item m="1" x="22"/>
        <item m="1" x="5"/>
        <item m="1" x="46"/>
        <item m="1" x="19"/>
        <item m="1" x="47"/>
        <item m="1" x="54"/>
        <item m="1" x="48"/>
        <item m="1" x="13"/>
        <item m="1" x="12"/>
        <item m="1" x="27"/>
        <item m="1" x="14"/>
        <item m="1" x="52"/>
        <item m="1" x="29"/>
        <item m="1" x="6"/>
        <item m="1" x="23"/>
        <item m="1" x="49"/>
        <item m="1" x="11"/>
        <item m="1" x="15"/>
        <item m="1" x="53"/>
        <item m="1" x="58"/>
        <item m="1" x="57"/>
        <item m="1" x="36"/>
        <item m="1" x="33"/>
        <item m="1" x="51"/>
        <item m="1" x="50"/>
        <item m="1" x="9"/>
        <item m="1" x="17"/>
        <item m="1" x="18"/>
        <item m="1" x="43"/>
        <item m="1" x="20"/>
        <item m="1" x="2"/>
        <item m="1" x="38"/>
        <item m="1" x="28"/>
        <item m="1" x="35"/>
        <item m="1" x="34"/>
        <item m="1" x="8"/>
        <item m="1" x="56"/>
        <item m="1" x="21"/>
        <item m="1" x="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61">
        <item m="1" x="12"/>
        <item m="1" x="26"/>
        <item m="1" x="37"/>
        <item m="1" x="48"/>
        <item m="1" x="50"/>
        <item m="1" x="59"/>
        <item m="1" x="60"/>
        <item m="1" x="28"/>
        <item m="1" x="19"/>
        <item m="1" x="51"/>
        <item m="1" x="53"/>
        <item m="1" x="56"/>
        <item m="1" x="36"/>
        <item m="1" x="40"/>
        <item m="1" x="57"/>
        <item m="1" x="23"/>
        <item m="1" x="8"/>
        <item m="1" x="13"/>
        <item m="1" x="24"/>
        <item m="1" x="20"/>
        <item m="1" x="54"/>
        <item m="1" x="55"/>
        <item m="1" x="52"/>
        <item m="1" x="41"/>
        <item m="1" x="18"/>
        <item m="1" x="1"/>
        <item m="1" x="16"/>
        <item m="1" x="46"/>
        <item m="1" x="29"/>
        <item m="1" x="9"/>
        <item m="1" x="25"/>
        <item m="1" x="6"/>
        <item m="1" x="30"/>
        <item m="1" x="5"/>
        <item m="1" x="49"/>
        <item m="1" x="45"/>
        <item m="1" x="42"/>
        <item m="1" x="21"/>
        <item m="1" x="43"/>
        <item m="1" x="17"/>
        <item m="1" x="4"/>
        <item m="1" x="35"/>
        <item m="1" x="2"/>
        <item m="1" x="22"/>
        <item m="1" x="39"/>
        <item m="1" x="10"/>
        <item m="1" x="11"/>
        <item m="1" x="44"/>
        <item m="1" x="32"/>
        <item m="1" x="33"/>
        <item m="1" x="34"/>
        <item m="1" x="15"/>
        <item m="1" x="31"/>
        <item m="1" x="7"/>
        <item m="1" x="27"/>
        <item m="1" x="47"/>
        <item m="1" x="38"/>
        <item m="1" x="58"/>
        <item m="1" x="3"/>
        <item m="1" x="14"/>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name="EAN" axis="axisRow" compact="0" outline="0" subtotalTop="0" showAll="0" defaultSubtotal="0">
      <items count="34">
        <item m="1" x="5"/>
        <item m="1" x="1"/>
        <item m="1" x="7"/>
        <item m="1" x="32"/>
        <item m="1" x="30"/>
        <item m="1" x="13"/>
        <item m="1" x="23"/>
        <item m="1" x="18"/>
        <item m="1" x="31"/>
        <item m="1" x="14"/>
        <item m="1" x="4"/>
        <item m="1" x="26"/>
        <item m="1" x="15"/>
        <item m="1" x="33"/>
        <item m="1" x="10"/>
        <item m="1" x="12"/>
        <item m="1" x="16"/>
        <item m="1" x="19"/>
        <item m="1" x="17"/>
        <item m="1" x="24"/>
        <item m="1" x="25"/>
        <item m="1" x="22"/>
        <item m="1" x="11"/>
        <item m="1" x="8"/>
        <item m="1" x="2"/>
        <item m="1" x="28"/>
        <item m="1" x="20"/>
        <item m="1" x="3"/>
        <item m="1" x="9"/>
        <item m="1" x="29"/>
        <item m="1" x="21"/>
        <item m="1" x="27"/>
        <item m="1" x="6"/>
        <item x="0"/>
      </items>
      <extLst>
        <ext xmlns:x14="http://schemas.microsoft.com/office/spreadsheetml/2009/9/main" uri="{2946ED86-A175-432a-8AC1-64E0C546D7DE}">
          <x14:pivotField fillDownLabels="1"/>
        </ext>
      </extLst>
    </pivotField>
    <pivotField compact="0" numFmtId="14" outline="0" subtotalTop="0" showAll="0" defaultSubtotal="0">
      <items count="35">
        <item m="1" x="34"/>
        <item m="1" x="23"/>
        <item m="1" x="21"/>
        <item m="1" x="8"/>
        <item m="1" x="30"/>
        <item m="1" x="12"/>
        <item m="1" x="6"/>
        <item m="1" x="28"/>
        <item m="1" x="11"/>
        <item m="1" x="26"/>
        <item m="1" x="4"/>
        <item m="1" x="19"/>
        <item m="1" x="33"/>
        <item m="1" x="9"/>
        <item m="1" x="25"/>
        <item m="1" x="1"/>
        <item m="1" x="17"/>
        <item m="1" x="32"/>
        <item m="1" x="3"/>
        <item m="1" x="18"/>
        <item m="1" x="13"/>
        <item m="1" x="27"/>
        <item m="1" x="14"/>
        <item m="1" x="20"/>
        <item m="1" x="10"/>
        <item m="1" x="16"/>
        <item m="1" x="5"/>
        <item m="1" x="15"/>
        <item m="1" x="31"/>
        <item m="1" x="7"/>
        <item m="1" x="24"/>
        <item m="1" x="29"/>
        <item m="1" x="22"/>
        <item m="1" x="2"/>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Page" compact="0" outline="0" subtotalTop="0" multipleItemSelectionAllowed="1" showAll="0" defaultSubtotal="0">
      <items count="8">
        <item h="1" m="1" x="2"/>
        <item h="1" m="1" x="1"/>
        <item h="1" m="1" x="3"/>
        <item m="1" x="7"/>
        <item h="1" m="1" x="4"/>
        <item h="1" m="1" x="6"/>
        <item h="1" m="1" x="5"/>
        <item h="1"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items count="84">
        <item m="1" x="49"/>
        <item m="1" x="45"/>
        <item m="1" x="21"/>
        <item m="1" x="72"/>
        <item m="1" x="43"/>
        <item m="1" x="26"/>
        <item m="1" x="38"/>
        <item m="1" x="16"/>
        <item m="1" x="52"/>
        <item m="1" x="42"/>
        <item m="1" x="58"/>
        <item m="1" x="30"/>
        <item m="1" x="44"/>
        <item m="1" x="47"/>
        <item m="1" x="41"/>
        <item m="1" x="31"/>
        <item m="1" x="40"/>
        <item m="1" x="32"/>
        <item m="1" x="7"/>
        <item m="1" x="69"/>
        <item m="1" x="65"/>
        <item m="1" x="13"/>
        <item m="1" x="25"/>
        <item m="1" x="15"/>
        <item m="1" x="74"/>
        <item m="1" x="51"/>
        <item m="1" x="33"/>
        <item m="1" x="60"/>
        <item m="1" x="54"/>
        <item m="1" x="27"/>
        <item m="1" x="9"/>
        <item m="1" x="83"/>
        <item m="1" x="8"/>
        <item m="1" x="39"/>
        <item m="1" x="3"/>
        <item m="1" x="18"/>
        <item m="1" x="17"/>
        <item m="1" x="81"/>
        <item m="1" x="20"/>
        <item m="1" x="6"/>
        <item m="1" x="5"/>
        <item m="1" x="66"/>
        <item m="1" x="14"/>
        <item m="1" x="71"/>
        <item m="1" x="80"/>
        <item m="1" x="68"/>
        <item m="1" x="63"/>
        <item m="1" x="82"/>
        <item m="1" x="48"/>
        <item m="1" x="46"/>
        <item m="1" x="2"/>
        <item m="1" x="23"/>
        <item m="1" x="22"/>
        <item m="1" x="35"/>
        <item m="1" x="78"/>
        <item m="1" x="37"/>
        <item m="1" x="55"/>
        <item m="1" x="11"/>
        <item m="1" x="70"/>
        <item m="1" x="73"/>
        <item m="1" x="1"/>
        <item m="1" x="12"/>
        <item m="1" x="4"/>
        <item m="1" x="50"/>
        <item m="1" x="79"/>
        <item m="1" x="34"/>
        <item m="1" x="62"/>
        <item m="1" x="76"/>
        <item m="1" x="28"/>
        <item m="1" x="59"/>
        <item m="1" x="10"/>
        <item m="1" x="36"/>
        <item m="1" x="53"/>
        <item m="1" x="24"/>
        <item m="1" x="64"/>
        <item m="1" x="57"/>
        <item m="1" x="77"/>
        <item m="1" x="19"/>
        <item m="1" x="75"/>
        <item m="1" x="61"/>
        <item m="1" x="29"/>
        <item m="1" x="56"/>
        <item m="1" x="67"/>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numFmtId="1" outline="0" subtotalTop="0" showAll="0" defaultSubtotal="0">
      <extLst>
        <ext xmlns:x14="http://schemas.microsoft.com/office/spreadsheetml/2009/9/main" uri="{2946ED86-A175-432a-8AC1-64E0C546D7DE}">
          <x14:pivotField fillDownLabels="1"/>
        </ext>
      </extLst>
    </pivotField>
  </pivotFields>
  <rowFields count="5">
    <field x="9"/>
    <field x="10"/>
    <field x="18"/>
    <field x="14"/>
    <field x="16"/>
  </rowFields>
  <rowItems count="1">
    <i t="grand">
      <x/>
    </i>
  </rowItems>
  <colItems count="1">
    <i/>
  </colItems>
  <pageFields count="1">
    <pageField fld="67" hier="-1"/>
  </pageFields>
  <dataFields count="1">
    <dataField name="Sum of Sin Despacho" fld="71" baseField="0" baseItem="0"/>
  </dataFields>
  <formats count="623">
    <format dxfId="736">
      <pivotArea outline="0" collapsedLevelsAreSubtotals="1" fieldPosition="0"/>
    </format>
    <format dxfId="735">
      <pivotArea field="67" type="button" dataOnly="0" labelOnly="1" outline="0" axis="axisPage" fieldPosition="0"/>
    </format>
    <format dxfId="734">
      <pivotArea type="origin" dataOnly="0" labelOnly="1" outline="0" fieldPosition="0"/>
    </format>
    <format dxfId="733">
      <pivotArea type="all" dataOnly="0" outline="0" fieldPosition="0"/>
    </format>
    <format dxfId="732">
      <pivotArea type="origin" dataOnly="0" labelOnly="1" outline="0" fieldPosition="0"/>
    </format>
    <format dxfId="731">
      <pivotArea field="9" type="button" dataOnly="0" labelOnly="1" outline="0" axis="axisRow" fieldPosition="0"/>
    </format>
    <format dxfId="730">
      <pivotArea field="10" type="button" dataOnly="0" labelOnly="1" outline="0" axis="axisRow" fieldPosition="1"/>
    </format>
    <format dxfId="729">
      <pivotArea field="18" type="button" dataOnly="0" labelOnly="1" outline="0" axis="axisRow" fieldPosition="2"/>
    </format>
    <format dxfId="728">
      <pivotArea field="14" type="button" dataOnly="0" labelOnly="1" outline="0" axis="axisRow" fieldPosition="3"/>
    </format>
    <format dxfId="727">
      <pivotArea field="69" type="button" dataOnly="0" labelOnly="1" outline="0"/>
    </format>
    <format dxfId="726">
      <pivotArea field="16" type="button" dataOnly="0" labelOnly="1" outline="0" axis="axisRow" fieldPosition="4"/>
    </format>
    <format dxfId="725">
      <pivotArea dataOnly="0" labelOnly="1" outline="0" fieldPosition="0">
        <references count="1">
          <reference field="9"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24">
      <pivotArea dataOnly="0" labelOnly="1" outline="0" fieldPosition="0">
        <references count="1">
          <reference field="9" count="13">
            <x v="50"/>
            <x v="51"/>
            <x v="52"/>
            <x v="53"/>
            <x v="54"/>
            <x v="55"/>
            <x v="56"/>
            <x v="57"/>
            <x v="58"/>
            <x v="59"/>
            <x v="60"/>
            <x v="61"/>
            <x v="62"/>
          </reference>
        </references>
      </pivotArea>
    </format>
    <format dxfId="723">
      <pivotArea dataOnly="0" labelOnly="1" grandRow="1" outline="0" fieldPosition="0"/>
    </format>
    <format dxfId="722">
      <pivotArea dataOnly="0" labelOnly="1" outline="0" fieldPosition="0">
        <references count="2">
          <reference field="9" count="1" selected="0">
            <x v="0"/>
          </reference>
          <reference field="10" count="1">
            <x v="58"/>
          </reference>
        </references>
      </pivotArea>
    </format>
    <format dxfId="721">
      <pivotArea dataOnly="0" labelOnly="1" outline="0" fieldPosition="0">
        <references count="2">
          <reference field="9" count="1" selected="0">
            <x v="1"/>
          </reference>
          <reference field="10" count="1">
            <x v="57"/>
          </reference>
        </references>
      </pivotArea>
    </format>
    <format dxfId="720">
      <pivotArea dataOnly="0" labelOnly="1" outline="0" fieldPosition="0">
        <references count="2">
          <reference field="9" count="1" selected="0">
            <x v="2"/>
          </reference>
          <reference field="10" count="1">
            <x v="56"/>
          </reference>
        </references>
      </pivotArea>
    </format>
    <format dxfId="719">
      <pivotArea dataOnly="0" labelOnly="1" outline="0" fieldPosition="0">
        <references count="2">
          <reference field="9" count="1" selected="0">
            <x v="3"/>
          </reference>
          <reference field="10" count="1">
            <x v="55"/>
          </reference>
        </references>
      </pivotArea>
    </format>
    <format dxfId="718">
      <pivotArea dataOnly="0" labelOnly="1" outline="0" fieldPosition="0">
        <references count="2">
          <reference field="9" count="1" selected="0">
            <x v="4"/>
          </reference>
          <reference field="10" count="1">
            <x v="54"/>
          </reference>
        </references>
      </pivotArea>
    </format>
    <format dxfId="717">
      <pivotArea dataOnly="0" labelOnly="1" outline="0" fieldPosition="0">
        <references count="2">
          <reference field="9" count="1" selected="0">
            <x v="5"/>
          </reference>
          <reference field="10" count="1">
            <x v="59"/>
          </reference>
        </references>
      </pivotArea>
    </format>
    <format dxfId="716">
      <pivotArea dataOnly="0" labelOnly="1" outline="0" fieldPosition="0">
        <references count="2">
          <reference field="9" count="1" selected="0">
            <x v="6"/>
          </reference>
          <reference field="10" count="1">
            <x v="53"/>
          </reference>
        </references>
      </pivotArea>
    </format>
    <format dxfId="715">
      <pivotArea dataOnly="0" labelOnly="1" outline="0" fieldPosition="0">
        <references count="2">
          <reference field="9" count="1" selected="0">
            <x v="7"/>
          </reference>
          <reference field="10" count="1">
            <x v="60"/>
          </reference>
        </references>
      </pivotArea>
    </format>
    <format dxfId="714">
      <pivotArea dataOnly="0" labelOnly="1" outline="0" fieldPosition="0">
        <references count="2">
          <reference field="9" count="1" selected="0">
            <x v="8"/>
          </reference>
          <reference field="10" count="1">
            <x v="61"/>
          </reference>
        </references>
      </pivotArea>
    </format>
    <format dxfId="713">
      <pivotArea dataOnly="0" labelOnly="1" outline="0" fieldPosition="0">
        <references count="2">
          <reference field="9" count="1" selected="0">
            <x v="9"/>
          </reference>
          <reference field="10" count="1">
            <x v="62"/>
          </reference>
        </references>
      </pivotArea>
    </format>
    <format dxfId="712">
      <pivotArea dataOnly="0" labelOnly="1" outline="0" fieldPosition="0">
        <references count="2">
          <reference field="9" count="1" selected="0">
            <x v="10"/>
          </reference>
          <reference field="10" count="1">
            <x v="10"/>
          </reference>
        </references>
      </pivotArea>
    </format>
    <format dxfId="711">
      <pivotArea dataOnly="0" labelOnly="1" outline="0" fieldPosition="0">
        <references count="2">
          <reference field="9" count="1" selected="0">
            <x v="11"/>
          </reference>
          <reference field="10" count="1">
            <x v="14"/>
          </reference>
        </references>
      </pivotArea>
    </format>
    <format dxfId="710">
      <pivotArea dataOnly="0" labelOnly="1" outline="0" fieldPosition="0">
        <references count="2">
          <reference field="9" count="1" selected="0">
            <x v="12"/>
          </reference>
          <reference field="10" count="1">
            <x v="18"/>
          </reference>
        </references>
      </pivotArea>
    </format>
    <format dxfId="709">
      <pivotArea dataOnly="0" labelOnly="1" outline="0" fieldPosition="0">
        <references count="2">
          <reference field="9" count="1" selected="0">
            <x v="13"/>
          </reference>
          <reference field="10" count="1">
            <x v="22"/>
          </reference>
        </references>
      </pivotArea>
    </format>
    <format dxfId="708">
      <pivotArea dataOnly="0" labelOnly="1" outline="0" fieldPosition="0">
        <references count="2">
          <reference field="9" count="1" selected="0">
            <x v="14"/>
          </reference>
          <reference field="10" count="1">
            <x v="26"/>
          </reference>
        </references>
      </pivotArea>
    </format>
    <format dxfId="707">
      <pivotArea dataOnly="0" labelOnly="1" outline="0" fieldPosition="0">
        <references count="2">
          <reference field="9" count="1" selected="0">
            <x v="15"/>
          </reference>
          <reference field="10" count="1">
            <x v="30"/>
          </reference>
        </references>
      </pivotArea>
    </format>
    <format dxfId="706">
      <pivotArea dataOnly="0" labelOnly="1" outline="0" fieldPosition="0">
        <references count="2">
          <reference field="9" count="1" selected="0">
            <x v="16"/>
          </reference>
          <reference field="10" count="1">
            <x v="34"/>
          </reference>
        </references>
      </pivotArea>
    </format>
    <format dxfId="705">
      <pivotArea dataOnly="0" labelOnly="1" outline="0" fieldPosition="0">
        <references count="2">
          <reference field="9" count="1" selected="0">
            <x v="17"/>
          </reference>
          <reference field="10" count="1">
            <x v="38"/>
          </reference>
        </references>
      </pivotArea>
    </format>
    <format dxfId="704">
      <pivotArea dataOnly="0" labelOnly="1" outline="0" fieldPosition="0">
        <references count="2">
          <reference field="9" count="1" selected="0">
            <x v="18"/>
          </reference>
          <reference field="10" count="1">
            <x v="42"/>
          </reference>
        </references>
      </pivotArea>
    </format>
    <format dxfId="703">
      <pivotArea dataOnly="0" labelOnly="1" outline="0" fieldPosition="0">
        <references count="2">
          <reference field="9" count="1" selected="0">
            <x v="19"/>
          </reference>
          <reference field="10" count="1">
            <x v="46"/>
          </reference>
        </references>
      </pivotArea>
    </format>
    <format dxfId="702">
      <pivotArea dataOnly="0" labelOnly="1" outline="0" fieldPosition="0">
        <references count="2">
          <reference field="9" count="1" selected="0">
            <x v="20"/>
          </reference>
          <reference field="10" count="1">
            <x v="50"/>
          </reference>
        </references>
      </pivotArea>
    </format>
    <format dxfId="701">
      <pivotArea dataOnly="0" labelOnly="1" outline="0" fieldPosition="0">
        <references count="2">
          <reference field="9" count="1" selected="0">
            <x v="21"/>
          </reference>
          <reference field="10" count="1">
            <x v="11"/>
          </reference>
        </references>
      </pivotArea>
    </format>
    <format dxfId="700">
      <pivotArea dataOnly="0" labelOnly="1" outline="0" fieldPosition="0">
        <references count="2">
          <reference field="9" count="1" selected="0">
            <x v="22"/>
          </reference>
          <reference field="10" count="1">
            <x v="15"/>
          </reference>
        </references>
      </pivotArea>
    </format>
    <format dxfId="699">
      <pivotArea dataOnly="0" labelOnly="1" outline="0" fieldPosition="0">
        <references count="2">
          <reference field="9" count="1" selected="0">
            <x v="23"/>
          </reference>
          <reference field="10" count="1">
            <x v="19"/>
          </reference>
        </references>
      </pivotArea>
    </format>
    <format dxfId="698">
      <pivotArea dataOnly="0" labelOnly="1" outline="0" fieldPosition="0">
        <references count="2">
          <reference field="9" count="1" selected="0">
            <x v="24"/>
          </reference>
          <reference field="10" count="1">
            <x v="23"/>
          </reference>
        </references>
      </pivotArea>
    </format>
    <format dxfId="697">
      <pivotArea dataOnly="0" labelOnly="1" outline="0" fieldPosition="0">
        <references count="2">
          <reference field="9" count="1" selected="0">
            <x v="25"/>
          </reference>
          <reference field="10" count="1">
            <x v="27"/>
          </reference>
        </references>
      </pivotArea>
    </format>
    <format dxfId="696">
      <pivotArea dataOnly="0" labelOnly="1" outline="0" fieldPosition="0">
        <references count="2">
          <reference field="9" count="1" selected="0">
            <x v="26"/>
          </reference>
          <reference field="10" count="1">
            <x v="31"/>
          </reference>
        </references>
      </pivotArea>
    </format>
    <format dxfId="695">
      <pivotArea dataOnly="0" labelOnly="1" outline="0" fieldPosition="0">
        <references count="2">
          <reference field="9" count="1" selected="0">
            <x v="27"/>
          </reference>
          <reference field="10" count="1">
            <x v="35"/>
          </reference>
        </references>
      </pivotArea>
    </format>
    <format dxfId="694">
      <pivotArea dataOnly="0" labelOnly="1" outline="0" fieldPosition="0">
        <references count="2">
          <reference field="9" count="1" selected="0">
            <x v="28"/>
          </reference>
          <reference field="10" count="1">
            <x v="39"/>
          </reference>
        </references>
      </pivotArea>
    </format>
    <format dxfId="693">
      <pivotArea dataOnly="0" labelOnly="1" outline="0" fieldPosition="0">
        <references count="2">
          <reference field="9" count="1" selected="0">
            <x v="29"/>
          </reference>
          <reference field="10" count="1">
            <x v="43"/>
          </reference>
        </references>
      </pivotArea>
    </format>
    <format dxfId="692">
      <pivotArea dataOnly="0" labelOnly="1" outline="0" fieldPosition="0">
        <references count="2">
          <reference field="9" count="1" selected="0">
            <x v="30"/>
          </reference>
          <reference field="10" count="1">
            <x v="47"/>
          </reference>
        </references>
      </pivotArea>
    </format>
    <format dxfId="691">
      <pivotArea dataOnly="0" labelOnly="1" outline="0" fieldPosition="0">
        <references count="2">
          <reference field="9" count="1" selected="0">
            <x v="31"/>
          </reference>
          <reference field="10" count="1">
            <x v="51"/>
          </reference>
        </references>
      </pivotArea>
    </format>
    <format dxfId="690">
      <pivotArea dataOnly="0" labelOnly="1" outline="0" fieldPosition="0">
        <references count="2">
          <reference field="9" count="1" selected="0">
            <x v="32"/>
          </reference>
          <reference field="10" count="1">
            <x v="12"/>
          </reference>
        </references>
      </pivotArea>
    </format>
    <format dxfId="689">
      <pivotArea dataOnly="0" labelOnly="1" outline="0" fieldPosition="0">
        <references count="2">
          <reference field="9" count="1" selected="0">
            <x v="33"/>
          </reference>
          <reference field="10" count="1">
            <x v="16"/>
          </reference>
        </references>
      </pivotArea>
    </format>
    <format dxfId="688">
      <pivotArea dataOnly="0" labelOnly="1" outline="0" fieldPosition="0">
        <references count="2">
          <reference field="9" count="1" selected="0">
            <x v="34"/>
          </reference>
          <reference field="10" count="1">
            <x v="20"/>
          </reference>
        </references>
      </pivotArea>
    </format>
    <format dxfId="687">
      <pivotArea dataOnly="0" labelOnly="1" outline="0" fieldPosition="0">
        <references count="2">
          <reference field="9" count="1" selected="0">
            <x v="35"/>
          </reference>
          <reference field="10" count="1">
            <x v="24"/>
          </reference>
        </references>
      </pivotArea>
    </format>
    <format dxfId="686">
      <pivotArea dataOnly="0" labelOnly="1" outline="0" fieldPosition="0">
        <references count="2">
          <reference field="9" count="1" selected="0">
            <x v="36"/>
          </reference>
          <reference field="10" count="1">
            <x v="28"/>
          </reference>
        </references>
      </pivotArea>
    </format>
    <format dxfId="685">
      <pivotArea dataOnly="0" labelOnly="1" outline="0" fieldPosition="0">
        <references count="2">
          <reference field="9" count="1" selected="0">
            <x v="37"/>
          </reference>
          <reference field="10" count="1">
            <x v="32"/>
          </reference>
        </references>
      </pivotArea>
    </format>
    <format dxfId="684">
      <pivotArea dataOnly="0" labelOnly="1" outline="0" fieldPosition="0">
        <references count="2">
          <reference field="9" count="1" selected="0">
            <x v="38"/>
          </reference>
          <reference field="10" count="1">
            <x v="36"/>
          </reference>
        </references>
      </pivotArea>
    </format>
    <format dxfId="683">
      <pivotArea dataOnly="0" labelOnly="1" outline="0" fieldPosition="0">
        <references count="2">
          <reference field="9" count="1" selected="0">
            <x v="39"/>
          </reference>
          <reference field="10" count="1">
            <x v="40"/>
          </reference>
        </references>
      </pivotArea>
    </format>
    <format dxfId="682">
      <pivotArea dataOnly="0" labelOnly="1" outline="0" fieldPosition="0">
        <references count="2">
          <reference field="9" count="1" selected="0">
            <x v="40"/>
          </reference>
          <reference field="10" count="1">
            <x v="44"/>
          </reference>
        </references>
      </pivotArea>
    </format>
    <format dxfId="681">
      <pivotArea dataOnly="0" labelOnly="1" outline="0" fieldPosition="0">
        <references count="2">
          <reference field="9" count="1" selected="0">
            <x v="41"/>
          </reference>
          <reference field="10" count="1">
            <x v="48"/>
          </reference>
        </references>
      </pivotArea>
    </format>
    <format dxfId="680">
      <pivotArea dataOnly="0" labelOnly="1" outline="0" fieldPosition="0">
        <references count="2">
          <reference field="9" count="1" selected="0">
            <x v="42"/>
          </reference>
          <reference field="10" count="1">
            <x v="52"/>
          </reference>
        </references>
      </pivotArea>
    </format>
    <format dxfId="679">
      <pivotArea dataOnly="0" labelOnly="1" outline="0" fieldPosition="0">
        <references count="2">
          <reference field="9" count="1" selected="0">
            <x v="43"/>
          </reference>
          <reference field="10" count="1">
            <x v="9"/>
          </reference>
        </references>
      </pivotArea>
    </format>
    <format dxfId="678">
      <pivotArea dataOnly="0" labelOnly="1" outline="0" fieldPosition="0">
        <references count="2">
          <reference field="9" count="1" selected="0">
            <x v="44"/>
          </reference>
          <reference field="10" count="1">
            <x v="13"/>
          </reference>
        </references>
      </pivotArea>
    </format>
    <format dxfId="677">
      <pivotArea dataOnly="0" labelOnly="1" outline="0" fieldPosition="0">
        <references count="2">
          <reference field="9" count="1" selected="0">
            <x v="45"/>
          </reference>
          <reference field="10" count="1">
            <x v="17"/>
          </reference>
        </references>
      </pivotArea>
    </format>
    <format dxfId="676">
      <pivotArea dataOnly="0" labelOnly="1" outline="0" fieldPosition="0">
        <references count="2">
          <reference field="9" count="1" selected="0">
            <x v="46"/>
          </reference>
          <reference field="10" count="1">
            <x v="21"/>
          </reference>
        </references>
      </pivotArea>
    </format>
    <format dxfId="675">
      <pivotArea dataOnly="0" labelOnly="1" outline="0" fieldPosition="0">
        <references count="2">
          <reference field="9" count="1" selected="0">
            <x v="47"/>
          </reference>
          <reference field="10" count="1">
            <x v="25"/>
          </reference>
        </references>
      </pivotArea>
    </format>
    <format dxfId="674">
      <pivotArea dataOnly="0" labelOnly="1" outline="0" fieldPosition="0">
        <references count="2">
          <reference field="9" count="1" selected="0">
            <x v="48"/>
          </reference>
          <reference field="10" count="1">
            <x v="29"/>
          </reference>
        </references>
      </pivotArea>
    </format>
    <format dxfId="673">
      <pivotArea dataOnly="0" labelOnly="1" outline="0" fieldPosition="0">
        <references count="2">
          <reference field="9" count="1" selected="0">
            <x v="49"/>
          </reference>
          <reference field="10" count="1">
            <x v="33"/>
          </reference>
        </references>
      </pivotArea>
    </format>
    <format dxfId="672">
      <pivotArea dataOnly="0" labelOnly="1" outline="0" fieldPosition="0">
        <references count="2">
          <reference field="9" count="1" selected="0">
            <x v="50"/>
          </reference>
          <reference field="10" count="1">
            <x v="37"/>
          </reference>
        </references>
      </pivotArea>
    </format>
    <format dxfId="671">
      <pivotArea dataOnly="0" labelOnly="1" outline="0" fieldPosition="0">
        <references count="2">
          <reference field="9" count="1" selected="0">
            <x v="51"/>
          </reference>
          <reference field="10" count="1">
            <x v="41"/>
          </reference>
        </references>
      </pivotArea>
    </format>
    <format dxfId="670">
      <pivotArea dataOnly="0" labelOnly="1" outline="0" fieldPosition="0">
        <references count="2">
          <reference field="9" count="1" selected="0">
            <x v="52"/>
          </reference>
          <reference field="10" count="1">
            <x v="45"/>
          </reference>
        </references>
      </pivotArea>
    </format>
    <format dxfId="669">
      <pivotArea dataOnly="0" labelOnly="1" outline="0" fieldPosition="0">
        <references count="2">
          <reference field="9" count="1" selected="0">
            <x v="53"/>
          </reference>
          <reference field="10" count="1">
            <x v="49"/>
          </reference>
        </references>
      </pivotArea>
    </format>
    <format dxfId="668">
      <pivotArea dataOnly="0" labelOnly="1" outline="0" fieldPosition="0">
        <references count="2">
          <reference field="9" count="1" selected="0">
            <x v="54"/>
          </reference>
          <reference field="10" count="1">
            <x v="4"/>
          </reference>
        </references>
      </pivotArea>
    </format>
    <format dxfId="667">
      <pivotArea dataOnly="0" labelOnly="1" outline="0" fieldPosition="0">
        <references count="2">
          <reference field="9" count="1" selected="0">
            <x v="55"/>
          </reference>
          <reference field="10" count="1">
            <x v="5"/>
          </reference>
        </references>
      </pivotArea>
    </format>
    <format dxfId="666">
      <pivotArea dataOnly="0" labelOnly="1" outline="0" fieldPosition="0">
        <references count="2">
          <reference field="9" count="1" selected="0">
            <x v="56"/>
          </reference>
          <reference field="10" count="1">
            <x v="6"/>
          </reference>
        </references>
      </pivotArea>
    </format>
    <format dxfId="665">
      <pivotArea dataOnly="0" labelOnly="1" outline="0" fieldPosition="0">
        <references count="2">
          <reference field="9" count="1" selected="0">
            <x v="57"/>
          </reference>
          <reference field="10" count="1">
            <x v="7"/>
          </reference>
        </references>
      </pivotArea>
    </format>
    <format dxfId="664">
      <pivotArea dataOnly="0" labelOnly="1" outline="0" fieldPosition="0">
        <references count="2">
          <reference field="9" count="1" selected="0">
            <x v="58"/>
          </reference>
          <reference field="10" count="1">
            <x v="0"/>
          </reference>
        </references>
      </pivotArea>
    </format>
    <format dxfId="663">
      <pivotArea dataOnly="0" labelOnly="1" outline="0" fieldPosition="0">
        <references count="2">
          <reference field="9" count="1" selected="0">
            <x v="59"/>
          </reference>
          <reference field="10" count="1">
            <x v="1"/>
          </reference>
        </references>
      </pivotArea>
    </format>
    <format dxfId="662">
      <pivotArea dataOnly="0" labelOnly="1" outline="0" fieldPosition="0">
        <references count="2">
          <reference field="9" count="1" selected="0">
            <x v="60"/>
          </reference>
          <reference field="10" count="1">
            <x v="2"/>
          </reference>
        </references>
      </pivotArea>
    </format>
    <format dxfId="661">
      <pivotArea dataOnly="0" labelOnly="1" outline="0" fieldPosition="0">
        <references count="2">
          <reference field="9" count="1" selected="0">
            <x v="61"/>
          </reference>
          <reference field="10" count="1">
            <x v="3"/>
          </reference>
        </references>
      </pivotArea>
    </format>
    <format dxfId="660">
      <pivotArea dataOnly="0" labelOnly="1" outline="0" fieldPosition="0">
        <references count="2">
          <reference field="9" count="1" selected="0">
            <x v="62"/>
          </reference>
          <reference field="10" count="1">
            <x v="8"/>
          </reference>
        </references>
      </pivotArea>
    </format>
    <format dxfId="659">
      <pivotArea dataOnly="0" labelOnly="1" outline="0" fieldPosition="0">
        <references count="3">
          <reference field="9" count="1" selected="0">
            <x v="0"/>
          </reference>
          <reference field="10" count="1" selected="0">
            <x v="58"/>
          </reference>
          <reference field="18" count="1">
            <x v="28"/>
          </reference>
        </references>
      </pivotArea>
    </format>
    <format dxfId="658">
      <pivotArea dataOnly="0" labelOnly="1" outline="0" fieldPosition="0">
        <references count="3">
          <reference field="9" count="1" selected="0">
            <x v="2"/>
          </reference>
          <reference field="10" count="1" selected="0">
            <x v="56"/>
          </reference>
          <reference field="18" count="5">
            <x v="5"/>
            <x v="12"/>
            <x v="16"/>
            <x v="22"/>
            <x v="30"/>
          </reference>
        </references>
      </pivotArea>
    </format>
    <format dxfId="657">
      <pivotArea dataOnly="0" labelOnly="1" outline="0" fieldPosition="0">
        <references count="3">
          <reference field="9" count="1" selected="0">
            <x v="3"/>
          </reference>
          <reference field="10" count="1" selected="0">
            <x v="55"/>
          </reference>
          <reference field="18" count="12">
            <x v="0"/>
            <x v="3"/>
            <x v="5"/>
            <x v="6"/>
            <x v="8"/>
            <x v="9"/>
            <x v="12"/>
            <x v="13"/>
            <x v="18"/>
            <x v="22"/>
            <x v="25"/>
            <x v="30"/>
          </reference>
        </references>
      </pivotArea>
    </format>
    <format dxfId="656">
      <pivotArea dataOnly="0" labelOnly="1" outline="0" fieldPosition="0">
        <references count="3">
          <reference field="9" count="1" selected="0">
            <x v="4"/>
          </reference>
          <reference field="10" count="1" selected="0">
            <x v="54"/>
          </reference>
          <reference field="18" count="12">
            <x v="3"/>
            <x v="6"/>
            <x v="7"/>
            <x v="8"/>
            <x v="9"/>
            <x v="12"/>
            <x v="14"/>
            <x v="16"/>
            <x v="18"/>
            <x v="22"/>
            <x v="24"/>
            <x v="25"/>
          </reference>
        </references>
      </pivotArea>
    </format>
    <format dxfId="655">
      <pivotArea dataOnly="0" labelOnly="1" outline="0" fieldPosition="0">
        <references count="3">
          <reference field="9" count="1" selected="0">
            <x v="5"/>
          </reference>
          <reference field="10" count="1" selected="0">
            <x v="59"/>
          </reference>
          <reference field="18" count="16">
            <x v="0"/>
            <x v="3"/>
            <x v="5"/>
            <x v="6"/>
            <x v="7"/>
            <x v="8"/>
            <x v="9"/>
            <x v="12"/>
            <x v="15"/>
            <x v="16"/>
            <x v="18"/>
            <x v="22"/>
            <x v="24"/>
            <x v="25"/>
            <x v="29"/>
            <x v="30"/>
          </reference>
        </references>
      </pivotArea>
    </format>
    <format dxfId="654">
      <pivotArea dataOnly="0" labelOnly="1" outline="0" fieldPosition="0">
        <references count="3">
          <reference field="9" count="1" selected="0">
            <x v="6"/>
          </reference>
          <reference field="10" count="1" selected="0">
            <x v="53"/>
          </reference>
          <reference field="18" count="1">
            <x v="20"/>
          </reference>
        </references>
      </pivotArea>
    </format>
    <format dxfId="653">
      <pivotArea dataOnly="0" labelOnly="1" outline="0" fieldPosition="0">
        <references count="3">
          <reference field="9" count="1" selected="0">
            <x v="7"/>
          </reference>
          <reference field="10" count="1" selected="0">
            <x v="60"/>
          </reference>
          <reference field="18" count="1">
            <x v="31"/>
          </reference>
        </references>
      </pivotArea>
    </format>
    <format dxfId="652">
      <pivotArea dataOnly="0" labelOnly="1" outline="0" fieldPosition="0">
        <references count="3">
          <reference field="9" count="1" selected="0">
            <x v="8"/>
          </reference>
          <reference field="10" count="1" selected="0">
            <x v="61"/>
          </reference>
          <reference field="18" count="10">
            <x v="5"/>
            <x v="8"/>
            <x v="9"/>
            <x v="12"/>
            <x v="22"/>
            <x v="24"/>
            <x v="25"/>
            <x v="29"/>
            <x v="30"/>
            <x v="31"/>
          </reference>
        </references>
      </pivotArea>
    </format>
    <format dxfId="651">
      <pivotArea dataOnly="0" labelOnly="1" outline="0" fieldPosition="0">
        <references count="3">
          <reference field="9" count="1" selected="0">
            <x v="9"/>
          </reference>
          <reference field="10" count="1" selected="0">
            <x v="62"/>
          </reference>
          <reference field="18" count="17">
            <x v="0"/>
            <x v="3"/>
            <x v="4"/>
            <x v="5"/>
            <x v="6"/>
            <x v="8"/>
            <x v="9"/>
            <x v="12"/>
            <x v="14"/>
            <x v="18"/>
            <x v="19"/>
            <x v="22"/>
            <x v="24"/>
            <x v="25"/>
            <x v="29"/>
            <x v="30"/>
            <x v="31"/>
          </reference>
        </references>
      </pivotArea>
    </format>
    <format dxfId="650">
      <pivotArea dataOnly="0" labelOnly="1" outline="0" fieldPosition="0">
        <references count="3">
          <reference field="9" count="1" selected="0">
            <x v="10"/>
          </reference>
          <reference field="10" count="1" selected="0">
            <x v="10"/>
          </reference>
          <reference field="18" count="11">
            <x v="1"/>
            <x v="3"/>
            <x v="7"/>
            <x v="11"/>
            <x v="12"/>
            <x v="14"/>
            <x v="15"/>
            <x v="21"/>
            <x v="22"/>
            <x v="28"/>
            <x v="29"/>
          </reference>
        </references>
      </pivotArea>
    </format>
    <format dxfId="649">
      <pivotArea dataOnly="0" labelOnly="1" outline="0" fieldPosition="0">
        <references count="3">
          <reference field="9" count="1" selected="0">
            <x v="11"/>
          </reference>
          <reference field="10" count="1" selected="0">
            <x v="14"/>
          </reference>
          <reference field="18" count="1">
            <x v="3"/>
          </reference>
        </references>
      </pivotArea>
    </format>
    <format dxfId="648">
      <pivotArea dataOnly="0" labelOnly="1" outline="0" fieldPosition="0">
        <references count="3">
          <reference field="9" count="1" selected="0">
            <x v="12"/>
          </reference>
          <reference field="10" count="1" selected="0">
            <x v="18"/>
          </reference>
          <reference field="18" count="18">
            <x v="0"/>
            <x v="1"/>
            <x v="3"/>
            <x v="7"/>
            <x v="8"/>
            <x v="9"/>
            <x v="11"/>
            <x v="12"/>
            <x v="13"/>
            <x v="14"/>
            <x v="15"/>
            <x v="16"/>
            <x v="18"/>
            <x v="22"/>
            <x v="27"/>
            <x v="28"/>
            <x v="29"/>
            <x v="30"/>
          </reference>
        </references>
      </pivotArea>
    </format>
    <format dxfId="647">
      <pivotArea dataOnly="0" labelOnly="1" outline="0" fieldPosition="0">
        <references count="3">
          <reference field="9" count="1" selected="0">
            <x v="13"/>
          </reference>
          <reference field="10" count="1" selected="0">
            <x v="22"/>
          </reference>
          <reference field="18" count="1">
            <x v="6"/>
          </reference>
        </references>
      </pivotArea>
    </format>
    <format dxfId="646">
      <pivotArea dataOnly="0" labelOnly="1" outline="0" fieldPosition="0">
        <references count="3">
          <reference field="9" count="1" selected="0">
            <x v="14"/>
          </reference>
          <reference field="10" count="1" selected="0">
            <x v="26"/>
          </reference>
          <reference field="18" count="2">
            <x v="16"/>
            <x v="30"/>
          </reference>
        </references>
      </pivotArea>
    </format>
    <format dxfId="645">
      <pivotArea dataOnly="0" labelOnly="1" outline="0" fieldPosition="0">
        <references count="3">
          <reference field="9" count="1" selected="0">
            <x v="15"/>
          </reference>
          <reference field="10" count="1" selected="0">
            <x v="30"/>
          </reference>
          <reference field="18" count="11">
            <x v="1"/>
            <x v="3"/>
            <x v="5"/>
            <x v="7"/>
            <x v="12"/>
            <x v="14"/>
            <x v="15"/>
            <x v="16"/>
            <x v="22"/>
            <x v="28"/>
            <x v="29"/>
          </reference>
        </references>
      </pivotArea>
    </format>
    <format dxfId="644">
      <pivotArea dataOnly="0" labelOnly="1" outline="0" fieldPosition="0">
        <references count="3">
          <reference field="9" count="1" selected="0">
            <x v="16"/>
          </reference>
          <reference field="10" count="1" selected="0">
            <x v="34"/>
          </reference>
          <reference field="18" count="1">
            <x v="22"/>
          </reference>
        </references>
      </pivotArea>
    </format>
    <format dxfId="643">
      <pivotArea dataOnly="0" labelOnly="1" outline="0" fieldPosition="0">
        <references count="3">
          <reference field="9" count="1" selected="0">
            <x v="17"/>
          </reference>
          <reference field="10" count="1" selected="0">
            <x v="38"/>
          </reference>
          <reference field="18" count="3">
            <x v="11"/>
            <x v="13"/>
            <x v="29"/>
          </reference>
        </references>
      </pivotArea>
    </format>
    <format dxfId="642">
      <pivotArea dataOnly="0" labelOnly="1" outline="0" fieldPosition="0">
        <references count="3">
          <reference field="9" count="1" selected="0">
            <x v="18"/>
          </reference>
          <reference field="10" count="1" selected="0">
            <x v="42"/>
          </reference>
          <reference field="18" count="10">
            <x v="1"/>
            <x v="3"/>
            <x v="5"/>
            <x v="7"/>
            <x v="8"/>
            <x v="9"/>
            <x v="12"/>
            <x v="14"/>
            <x v="15"/>
            <x v="28"/>
          </reference>
        </references>
      </pivotArea>
    </format>
    <format dxfId="641">
      <pivotArea dataOnly="0" labelOnly="1" outline="0" fieldPosition="0">
        <references count="3">
          <reference field="9" count="1" selected="0">
            <x v="19"/>
          </reference>
          <reference field="10" count="1" selected="0">
            <x v="46"/>
          </reference>
          <reference field="18" count="2">
            <x v="6"/>
            <x v="22"/>
          </reference>
        </references>
      </pivotArea>
    </format>
    <format dxfId="640">
      <pivotArea dataOnly="0" labelOnly="1" outline="0" fieldPosition="0">
        <references count="3">
          <reference field="9" count="1" selected="0">
            <x v="20"/>
          </reference>
          <reference field="10" count="1" selected="0">
            <x v="50"/>
          </reference>
          <reference field="18" count="1">
            <x v="6"/>
          </reference>
        </references>
      </pivotArea>
    </format>
    <format dxfId="639">
      <pivotArea dataOnly="0" labelOnly="1" outline="0" fieldPosition="0">
        <references count="3">
          <reference field="9" count="1" selected="0">
            <x v="21"/>
          </reference>
          <reference field="10" count="1" selected="0">
            <x v="11"/>
          </reference>
          <reference field="18" count="10">
            <x v="0"/>
            <x v="1"/>
            <x v="3"/>
            <x v="7"/>
            <x v="9"/>
            <x v="12"/>
            <x v="14"/>
            <x v="15"/>
            <x v="28"/>
            <x v="29"/>
          </reference>
        </references>
      </pivotArea>
    </format>
    <format dxfId="638">
      <pivotArea dataOnly="0" labelOnly="1" outline="0" fieldPosition="0">
        <references count="3">
          <reference field="9" count="1" selected="0">
            <x v="22"/>
          </reference>
          <reference field="10" count="1" selected="0">
            <x v="15"/>
          </reference>
          <reference field="18" count="1">
            <x v="3"/>
          </reference>
        </references>
      </pivotArea>
    </format>
    <format dxfId="637">
      <pivotArea dataOnly="0" labelOnly="1" outline="0" fieldPosition="0">
        <references count="3">
          <reference field="9" count="1" selected="0">
            <x v="23"/>
          </reference>
          <reference field="10" count="1" selected="0">
            <x v="19"/>
          </reference>
          <reference field="18" count="17">
            <x v="0"/>
            <x v="7"/>
            <x v="8"/>
            <x v="9"/>
            <x v="11"/>
            <x v="12"/>
            <x v="13"/>
            <x v="14"/>
            <x v="15"/>
            <x v="16"/>
            <x v="18"/>
            <x v="22"/>
            <x v="25"/>
            <x v="27"/>
            <x v="28"/>
            <x v="29"/>
            <x v="30"/>
          </reference>
        </references>
      </pivotArea>
    </format>
    <format dxfId="636">
      <pivotArea dataOnly="0" labelOnly="1" outline="0" fieldPosition="0">
        <references count="3">
          <reference field="9" count="1" selected="0">
            <x v="24"/>
          </reference>
          <reference field="10" count="1" selected="0">
            <x v="23"/>
          </reference>
          <reference field="18" count="1">
            <x v="6"/>
          </reference>
        </references>
      </pivotArea>
    </format>
    <format dxfId="635">
      <pivotArea dataOnly="0" labelOnly="1" outline="0" fieldPosition="0">
        <references count="3">
          <reference field="9" count="1" selected="0">
            <x v="25"/>
          </reference>
          <reference field="10" count="1" selected="0">
            <x v="27"/>
          </reference>
          <reference field="18" count="5">
            <x v="3"/>
            <x v="5"/>
            <x v="16"/>
            <x v="28"/>
            <x v="30"/>
          </reference>
        </references>
      </pivotArea>
    </format>
    <format dxfId="634">
      <pivotArea dataOnly="0" labelOnly="1" outline="0" fieldPosition="0">
        <references count="3">
          <reference field="9" count="1" selected="0">
            <x v="26"/>
          </reference>
          <reference field="10" count="1" selected="0">
            <x v="31"/>
          </reference>
          <reference field="18" count="14">
            <x v="0"/>
            <x v="3"/>
            <x v="5"/>
            <x v="7"/>
            <x v="9"/>
            <x v="12"/>
            <x v="14"/>
            <x v="15"/>
            <x v="16"/>
            <x v="18"/>
            <x v="22"/>
            <x v="25"/>
            <x v="28"/>
            <x v="29"/>
          </reference>
        </references>
      </pivotArea>
    </format>
    <format dxfId="633">
      <pivotArea dataOnly="0" labelOnly="1" outline="0" fieldPosition="0">
        <references count="3">
          <reference field="9" count="1" selected="0">
            <x v="27"/>
          </reference>
          <reference field="10" count="1" selected="0">
            <x v="35"/>
          </reference>
          <reference field="18" count="1">
            <x v="22"/>
          </reference>
        </references>
      </pivotArea>
    </format>
    <format dxfId="632">
      <pivotArea dataOnly="0" labelOnly="1" outline="0" fieldPosition="0">
        <references count="3">
          <reference field="9" count="1" selected="0">
            <x v="28"/>
          </reference>
          <reference field="10" count="1" selected="0">
            <x v="39"/>
          </reference>
          <reference field="18" count="5">
            <x v="11"/>
            <x v="12"/>
            <x v="13"/>
            <x v="15"/>
            <x v="27"/>
          </reference>
        </references>
      </pivotArea>
    </format>
    <format dxfId="631">
      <pivotArea dataOnly="0" labelOnly="1" outline="0" fieldPosition="0">
        <references count="3">
          <reference field="9" count="1" selected="0">
            <x v="29"/>
          </reference>
          <reference field="10" count="1" selected="0">
            <x v="43"/>
          </reference>
          <reference field="18" count="8">
            <x v="1"/>
            <x v="3"/>
            <x v="5"/>
            <x v="7"/>
            <x v="15"/>
            <x v="25"/>
            <x v="28"/>
            <x v="29"/>
          </reference>
        </references>
      </pivotArea>
    </format>
    <format dxfId="630">
      <pivotArea dataOnly="0" labelOnly="1" outline="0" fieldPosition="0">
        <references count="3">
          <reference field="9" count="1" selected="0">
            <x v="30"/>
          </reference>
          <reference field="10" count="1" selected="0">
            <x v="47"/>
          </reference>
          <reference field="18" count="2">
            <x v="6"/>
            <x v="22"/>
          </reference>
        </references>
      </pivotArea>
    </format>
    <format dxfId="629">
      <pivotArea dataOnly="0" labelOnly="1" outline="0" fieldPosition="0">
        <references count="3">
          <reference field="9" count="1" selected="0">
            <x v="31"/>
          </reference>
          <reference field="10" count="1" selected="0">
            <x v="51"/>
          </reference>
          <reference field="18" count="1">
            <x v="6"/>
          </reference>
        </references>
      </pivotArea>
    </format>
    <format dxfId="628">
      <pivotArea dataOnly="0" labelOnly="1" outline="0" fieldPosition="0">
        <references count="3">
          <reference field="9" count="1" selected="0">
            <x v="32"/>
          </reference>
          <reference field="10" count="1" selected="0">
            <x v="12"/>
          </reference>
          <reference field="18" count="10">
            <x v="0"/>
            <x v="1"/>
            <x v="3"/>
            <x v="12"/>
            <x v="14"/>
            <x v="21"/>
            <x v="22"/>
            <x v="25"/>
            <x v="28"/>
            <x v="29"/>
          </reference>
        </references>
      </pivotArea>
    </format>
    <format dxfId="627">
      <pivotArea dataOnly="0" labelOnly="1" outline="0" fieldPosition="0">
        <references count="3">
          <reference field="9" count="1" selected="0">
            <x v="33"/>
          </reference>
          <reference field="10" count="1" selected="0">
            <x v="16"/>
          </reference>
          <reference field="18" count="1">
            <x v="3"/>
          </reference>
        </references>
      </pivotArea>
    </format>
    <format dxfId="626">
      <pivotArea dataOnly="0" labelOnly="1" outline="0" fieldPosition="0">
        <references count="3">
          <reference field="9" count="1" selected="0">
            <x v="34"/>
          </reference>
          <reference field="10" count="1" selected="0">
            <x v="20"/>
          </reference>
          <reference field="18" count="17">
            <x v="0"/>
            <x v="1"/>
            <x v="7"/>
            <x v="8"/>
            <x v="9"/>
            <x v="11"/>
            <x v="12"/>
            <x v="13"/>
            <x v="15"/>
            <x v="16"/>
            <x v="18"/>
            <x v="22"/>
            <x v="25"/>
            <x v="27"/>
            <x v="28"/>
            <x v="29"/>
            <x v="30"/>
          </reference>
        </references>
      </pivotArea>
    </format>
    <format dxfId="625">
      <pivotArea dataOnly="0" labelOnly="1" outline="0" fieldPosition="0">
        <references count="3">
          <reference field="9" count="1" selected="0">
            <x v="35"/>
          </reference>
          <reference field="10" count="1" selected="0">
            <x v="24"/>
          </reference>
          <reference field="18" count="1">
            <x v="6"/>
          </reference>
        </references>
      </pivotArea>
    </format>
    <format dxfId="624">
      <pivotArea dataOnly="0" labelOnly="1" outline="0" fieldPosition="0">
        <references count="3">
          <reference field="9" count="1" selected="0">
            <x v="36"/>
          </reference>
          <reference field="10" count="1" selected="0">
            <x v="28"/>
          </reference>
          <reference field="18" count="3">
            <x v="4"/>
            <x v="16"/>
            <x v="30"/>
          </reference>
        </references>
      </pivotArea>
    </format>
    <format dxfId="623">
      <pivotArea dataOnly="0" labelOnly="1" outline="0" fieldPosition="0">
        <references count="3">
          <reference field="9" count="1" selected="0">
            <x v="37"/>
          </reference>
          <reference field="10" count="1" selected="0">
            <x v="32"/>
          </reference>
          <reference field="18" count="10">
            <x v="1"/>
            <x v="5"/>
            <x v="7"/>
            <x v="9"/>
            <x v="12"/>
            <x v="14"/>
            <x v="15"/>
            <x v="25"/>
            <x v="28"/>
            <x v="29"/>
          </reference>
        </references>
      </pivotArea>
    </format>
    <format dxfId="622">
      <pivotArea dataOnly="0" labelOnly="1" outline="0" fieldPosition="0">
        <references count="3">
          <reference field="9" count="1" selected="0">
            <x v="38"/>
          </reference>
          <reference field="10" count="1" selected="0">
            <x v="36"/>
          </reference>
          <reference field="18" count="1">
            <x v="22"/>
          </reference>
        </references>
      </pivotArea>
    </format>
    <format dxfId="621">
      <pivotArea dataOnly="0" labelOnly="1" outline="0" fieldPosition="0">
        <references count="3">
          <reference field="9" count="1" selected="0">
            <x v="39"/>
          </reference>
          <reference field="10" count="1" selected="0">
            <x v="40"/>
          </reference>
          <reference field="18" count="7">
            <x v="11"/>
            <x v="12"/>
            <x v="13"/>
            <x v="15"/>
            <x v="25"/>
            <x v="27"/>
            <x v="29"/>
          </reference>
        </references>
      </pivotArea>
    </format>
    <format dxfId="620">
      <pivotArea dataOnly="0" labelOnly="1" outline="0" fieldPosition="0">
        <references count="3">
          <reference field="9" count="1" selected="0">
            <x v="40"/>
          </reference>
          <reference field="10" count="1" selected="0">
            <x v="44"/>
          </reference>
          <reference field="18" count="8">
            <x v="3"/>
            <x v="5"/>
            <x v="7"/>
            <x v="8"/>
            <x v="9"/>
            <x v="14"/>
            <x v="15"/>
            <x v="28"/>
          </reference>
        </references>
      </pivotArea>
    </format>
    <format dxfId="619">
      <pivotArea dataOnly="0" labelOnly="1" outline="0" fieldPosition="0">
        <references count="3">
          <reference field="9" count="1" selected="0">
            <x v="41"/>
          </reference>
          <reference field="10" count="1" selected="0">
            <x v="48"/>
          </reference>
          <reference field="18" count="2">
            <x v="6"/>
            <x v="22"/>
          </reference>
        </references>
      </pivotArea>
    </format>
    <format dxfId="618">
      <pivotArea dataOnly="0" labelOnly="1" outline="0" fieldPosition="0">
        <references count="3">
          <reference field="9" count="1" selected="0">
            <x v="42"/>
          </reference>
          <reference field="10" count="1" selected="0">
            <x v="52"/>
          </reference>
          <reference field="18" count="1">
            <x v="6"/>
          </reference>
        </references>
      </pivotArea>
    </format>
    <format dxfId="617">
      <pivotArea dataOnly="0" labelOnly="1" outline="0" fieldPosition="0">
        <references count="3">
          <reference field="9" count="1" selected="0">
            <x v="43"/>
          </reference>
          <reference field="10" count="1" selected="0">
            <x v="9"/>
          </reference>
          <reference field="18" count="7">
            <x v="1"/>
            <x v="3"/>
            <x v="7"/>
            <x v="14"/>
            <x v="21"/>
            <x v="28"/>
            <x v="29"/>
          </reference>
        </references>
      </pivotArea>
    </format>
    <format dxfId="616">
      <pivotArea dataOnly="0" labelOnly="1" outline="0" fieldPosition="0">
        <references count="3">
          <reference field="9" count="1" selected="0">
            <x v="44"/>
          </reference>
          <reference field="10" count="1" selected="0">
            <x v="13"/>
          </reference>
          <reference field="18" count="1">
            <x v="3"/>
          </reference>
        </references>
      </pivotArea>
    </format>
    <format dxfId="615">
      <pivotArea dataOnly="0" labelOnly="1" outline="0" fieldPosition="0">
        <references count="3">
          <reference field="9" count="1" selected="0">
            <x v="45"/>
          </reference>
          <reference field="10" count="1" selected="0">
            <x v="17"/>
          </reference>
          <reference field="18" count="17">
            <x v="0"/>
            <x v="1"/>
            <x v="3"/>
            <x v="7"/>
            <x v="8"/>
            <x v="9"/>
            <x v="11"/>
            <x v="12"/>
            <x v="13"/>
            <x v="14"/>
            <x v="16"/>
            <x v="18"/>
            <x v="22"/>
            <x v="27"/>
            <x v="28"/>
            <x v="29"/>
            <x v="30"/>
          </reference>
        </references>
      </pivotArea>
    </format>
    <format dxfId="614">
      <pivotArea dataOnly="0" labelOnly="1" outline="0" fieldPosition="0">
        <references count="3">
          <reference field="9" count="1" selected="0">
            <x v="46"/>
          </reference>
          <reference field="10" count="1" selected="0">
            <x v="21"/>
          </reference>
          <reference field="18" count="1">
            <x v="6"/>
          </reference>
        </references>
      </pivotArea>
    </format>
    <format dxfId="613">
      <pivotArea dataOnly="0" labelOnly="1" outline="0" fieldPosition="0">
        <references count="3">
          <reference field="9" count="1" selected="0">
            <x v="47"/>
          </reference>
          <reference field="10" count="1" selected="0">
            <x v="25"/>
          </reference>
          <reference field="18" count="2">
            <x v="16"/>
            <x v="30"/>
          </reference>
        </references>
      </pivotArea>
    </format>
    <format dxfId="612">
      <pivotArea dataOnly="0" labelOnly="1" outline="0" fieldPosition="0">
        <references count="3">
          <reference field="9" count="1" selected="0">
            <x v="48"/>
          </reference>
          <reference field="10" count="1" selected="0">
            <x v="29"/>
          </reference>
          <reference field="18" count="8">
            <x v="3"/>
            <x v="5"/>
            <x v="7"/>
            <x v="14"/>
            <x v="16"/>
            <x v="19"/>
            <x v="25"/>
            <x v="28"/>
          </reference>
        </references>
      </pivotArea>
    </format>
    <format dxfId="611">
      <pivotArea dataOnly="0" labelOnly="1" outline="0" fieldPosition="0">
        <references count="3">
          <reference field="9" count="1" selected="0">
            <x v="49"/>
          </reference>
          <reference field="10" count="1" selected="0">
            <x v="33"/>
          </reference>
          <reference field="18" count="1">
            <x v="22"/>
          </reference>
        </references>
      </pivotArea>
    </format>
    <format dxfId="610">
      <pivotArea dataOnly="0" labelOnly="1" outline="0" fieldPosition="0">
        <references count="3">
          <reference field="9" count="1" selected="0">
            <x v="50"/>
          </reference>
          <reference field="10" count="1" selected="0">
            <x v="37"/>
          </reference>
          <reference field="18" count="5">
            <x v="0"/>
            <x v="11"/>
            <x v="13"/>
            <x v="27"/>
            <x v="29"/>
          </reference>
        </references>
      </pivotArea>
    </format>
    <format dxfId="609">
      <pivotArea dataOnly="0" labelOnly="1" outline="0" fieldPosition="0">
        <references count="3">
          <reference field="9" count="1" selected="0">
            <x v="51"/>
          </reference>
          <reference field="10" count="1" selected="0">
            <x v="41"/>
          </reference>
          <reference field="18" count="8">
            <x v="1"/>
            <x v="3"/>
            <x v="7"/>
            <x v="9"/>
            <x v="12"/>
            <x v="18"/>
            <x v="25"/>
            <x v="28"/>
          </reference>
        </references>
      </pivotArea>
    </format>
    <format dxfId="608">
      <pivotArea dataOnly="0" labelOnly="1" outline="0" fieldPosition="0">
        <references count="3">
          <reference field="9" count="1" selected="0">
            <x v="52"/>
          </reference>
          <reference field="10" count="1" selected="0">
            <x v="45"/>
          </reference>
          <reference field="18" count="2">
            <x v="6"/>
            <x v="22"/>
          </reference>
        </references>
      </pivotArea>
    </format>
    <format dxfId="607">
      <pivotArea dataOnly="0" labelOnly="1" outline="0" fieldPosition="0">
        <references count="3">
          <reference field="9" count="1" selected="0">
            <x v="53"/>
          </reference>
          <reference field="10" count="1" selected="0">
            <x v="49"/>
          </reference>
          <reference field="18" count="1">
            <x v="6"/>
          </reference>
        </references>
      </pivotArea>
    </format>
    <format dxfId="606">
      <pivotArea dataOnly="0" labelOnly="1" outline="0" fieldPosition="0">
        <references count="3">
          <reference field="9" count="1" selected="0">
            <x v="54"/>
          </reference>
          <reference field="10" count="1" selected="0">
            <x v="4"/>
          </reference>
          <reference field="18" count="1">
            <x v="15"/>
          </reference>
        </references>
      </pivotArea>
    </format>
    <format dxfId="605">
      <pivotArea dataOnly="0" labelOnly="1" outline="0" fieldPosition="0">
        <references count="3">
          <reference field="9" count="1" selected="0">
            <x v="55"/>
          </reference>
          <reference field="10" count="1" selected="0">
            <x v="5"/>
          </reference>
          <reference field="18" count="9">
            <x v="3"/>
            <x v="5"/>
            <x v="6"/>
            <x v="7"/>
            <x v="11"/>
            <x v="13"/>
            <x v="19"/>
            <x v="21"/>
            <x v="27"/>
          </reference>
        </references>
      </pivotArea>
    </format>
    <format dxfId="604">
      <pivotArea dataOnly="0" labelOnly="1" outline="0" fieldPosition="0">
        <references count="3">
          <reference field="9" count="1" selected="0">
            <x v="56"/>
          </reference>
          <reference field="10" count="1" selected="0">
            <x v="6"/>
          </reference>
          <reference field="18" count="9">
            <x v="3"/>
            <x v="5"/>
            <x v="6"/>
            <x v="7"/>
            <x v="8"/>
            <x v="11"/>
            <x v="13"/>
            <x v="22"/>
            <x v="27"/>
          </reference>
        </references>
      </pivotArea>
    </format>
    <format dxfId="603">
      <pivotArea dataOnly="0" labelOnly="1" outline="0" fieldPosition="0">
        <references count="3">
          <reference field="9" count="1" selected="0">
            <x v="57"/>
          </reference>
          <reference field="10" count="1" selected="0">
            <x v="7"/>
          </reference>
          <reference field="18" count="10">
            <x v="3"/>
            <x v="5"/>
            <x v="6"/>
            <x v="7"/>
            <x v="11"/>
            <x v="13"/>
            <x v="15"/>
            <x v="16"/>
            <x v="22"/>
            <x v="27"/>
          </reference>
        </references>
      </pivotArea>
    </format>
    <format dxfId="602">
      <pivotArea dataOnly="0" labelOnly="1" outline="0" fieldPosition="0">
        <references count="3">
          <reference field="9" count="1" selected="0">
            <x v="58"/>
          </reference>
          <reference field="10" count="1" selected="0">
            <x v="0"/>
          </reference>
          <reference field="18" count="11">
            <x v="0"/>
            <x v="3"/>
            <x v="5"/>
            <x v="8"/>
            <x v="9"/>
            <x v="12"/>
            <x v="18"/>
            <x v="19"/>
            <x v="22"/>
            <x v="25"/>
            <x v="28"/>
          </reference>
        </references>
      </pivotArea>
    </format>
    <format dxfId="601">
      <pivotArea dataOnly="0" labelOnly="1" outline="0" fieldPosition="0">
        <references count="3">
          <reference field="9" count="1" selected="0">
            <x v="59"/>
          </reference>
          <reference field="10" count="1" selected="0">
            <x v="1"/>
          </reference>
          <reference field="18" count="9">
            <x v="3"/>
            <x v="4"/>
            <x v="8"/>
            <x v="9"/>
            <x v="12"/>
            <x v="19"/>
            <x v="22"/>
            <x v="28"/>
            <x v="30"/>
          </reference>
        </references>
      </pivotArea>
    </format>
    <format dxfId="600">
      <pivotArea dataOnly="0" labelOnly="1" outline="0" fieldPosition="0">
        <references count="3">
          <reference field="9" count="1" selected="0">
            <x v="60"/>
          </reference>
          <reference field="10" count="1" selected="0">
            <x v="2"/>
          </reference>
          <reference field="18" count="9">
            <x v="4"/>
            <x v="5"/>
            <x v="6"/>
            <x v="8"/>
            <x v="12"/>
            <x v="19"/>
            <x v="22"/>
            <x v="25"/>
            <x v="28"/>
          </reference>
        </references>
      </pivotArea>
    </format>
    <format dxfId="599">
      <pivotArea dataOnly="0" labelOnly="1" outline="0" fieldPosition="0">
        <references count="3">
          <reference field="9" count="1" selected="0">
            <x v="61"/>
          </reference>
          <reference field="10" count="1" selected="0">
            <x v="3"/>
          </reference>
          <reference field="18" count="12">
            <x v="0"/>
            <x v="3"/>
            <x v="4"/>
            <x v="8"/>
            <x v="9"/>
            <x v="12"/>
            <x v="19"/>
            <x v="22"/>
            <x v="24"/>
            <x v="25"/>
            <x v="28"/>
            <x v="30"/>
          </reference>
        </references>
      </pivotArea>
    </format>
    <format dxfId="598">
      <pivotArea dataOnly="0" labelOnly="1" outline="0" fieldPosition="0">
        <references count="3">
          <reference field="9" count="1" selected="0">
            <x v="62"/>
          </reference>
          <reference field="10" count="1" selected="0">
            <x v="8"/>
          </reference>
          <reference field="18" count="2">
            <x v="6"/>
            <x v="22"/>
          </reference>
        </references>
      </pivotArea>
    </format>
    <format dxfId="597">
      <pivotArea dataOnly="0" labelOnly="1" outline="0" fieldPosition="0">
        <references count="4">
          <reference field="9" count="1" selected="0">
            <x v="0"/>
          </reference>
          <reference field="10" count="1" selected="0">
            <x v="58"/>
          </reference>
          <reference field="14" count="1">
            <x v="5"/>
          </reference>
          <reference field="18" count="1" selected="0">
            <x v="28"/>
          </reference>
        </references>
      </pivotArea>
    </format>
    <format dxfId="596">
      <pivotArea dataOnly="0" labelOnly="1" outline="0" fieldPosition="0">
        <references count="4">
          <reference field="9" count="1" selected="0">
            <x v="2"/>
          </reference>
          <reference field="10" count="1" selected="0">
            <x v="56"/>
          </reference>
          <reference field="14" count="1">
            <x v="28"/>
          </reference>
          <reference field="18" count="1" selected="0">
            <x v="5"/>
          </reference>
        </references>
      </pivotArea>
    </format>
    <format dxfId="595">
      <pivotArea dataOnly="0" labelOnly="1" outline="0" fieldPosition="0">
        <references count="4">
          <reference field="9" count="1" selected="0">
            <x v="2"/>
          </reference>
          <reference field="10" count="1" selected="0">
            <x v="56"/>
          </reference>
          <reference field="14" count="1">
            <x v="16"/>
          </reference>
          <reference field="18" count="1" selected="0">
            <x v="12"/>
          </reference>
        </references>
      </pivotArea>
    </format>
    <format dxfId="594">
      <pivotArea dataOnly="0" labelOnly="1" outline="0" fieldPosition="0">
        <references count="4">
          <reference field="9" count="1" selected="0">
            <x v="2"/>
          </reference>
          <reference field="10" count="1" selected="0">
            <x v="56"/>
          </reference>
          <reference field="14" count="1">
            <x v="19"/>
          </reference>
          <reference field="18" count="1" selected="0">
            <x v="16"/>
          </reference>
        </references>
      </pivotArea>
    </format>
    <format dxfId="593">
      <pivotArea dataOnly="0" labelOnly="1" outline="0" fieldPosition="0">
        <references count="4">
          <reference field="9" count="1" selected="0">
            <x v="2"/>
          </reference>
          <reference field="10" count="1" selected="0">
            <x v="56"/>
          </reference>
          <reference field="14" count="1">
            <x v="7"/>
          </reference>
          <reference field="18" count="1" selected="0">
            <x v="22"/>
          </reference>
        </references>
      </pivotArea>
    </format>
    <format dxfId="592">
      <pivotArea dataOnly="0" labelOnly="1" outline="0" fieldPosition="0">
        <references count="4">
          <reference field="9" count="1" selected="0">
            <x v="2"/>
          </reference>
          <reference field="10" count="1" selected="0">
            <x v="56"/>
          </reference>
          <reference field="14" count="1">
            <x v="26"/>
          </reference>
          <reference field="18" count="1" selected="0">
            <x v="30"/>
          </reference>
        </references>
      </pivotArea>
    </format>
    <format dxfId="591">
      <pivotArea dataOnly="0" labelOnly="1" outline="0" fieldPosition="0">
        <references count="4">
          <reference field="9" count="1" selected="0">
            <x v="3"/>
          </reference>
          <reference field="10" count="1" selected="0">
            <x v="55"/>
          </reference>
          <reference field="14" count="1">
            <x v="4"/>
          </reference>
          <reference field="18" count="1" selected="0">
            <x v="0"/>
          </reference>
        </references>
      </pivotArea>
    </format>
    <format dxfId="590">
      <pivotArea dataOnly="0" labelOnly="1" outline="0" fieldPosition="0">
        <references count="4">
          <reference field="9" count="1" selected="0">
            <x v="3"/>
          </reference>
          <reference field="10" count="1" selected="0">
            <x v="55"/>
          </reference>
          <reference field="14" count="1">
            <x v="11"/>
          </reference>
          <reference field="18" count="1" selected="0">
            <x v="3"/>
          </reference>
        </references>
      </pivotArea>
    </format>
    <format dxfId="589">
      <pivotArea dataOnly="0" labelOnly="1" outline="0" fieldPosition="0">
        <references count="4">
          <reference field="9" count="1" selected="0">
            <x v="3"/>
          </reference>
          <reference field="10" count="1" selected="0">
            <x v="55"/>
          </reference>
          <reference field="14" count="1">
            <x v="28"/>
          </reference>
          <reference field="18" count="1" selected="0">
            <x v="5"/>
          </reference>
        </references>
      </pivotArea>
    </format>
    <format dxfId="588">
      <pivotArea dataOnly="0" labelOnly="1" outline="0" fieldPosition="0">
        <references count="4">
          <reference field="9" count="1" selected="0">
            <x v="3"/>
          </reference>
          <reference field="10" count="1" selected="0">
            <x v="55"/>
          </reference>
          <reference field="14" count="1">
            <x v="27"/>
          </reference>
          <reference field="18" count="1" selected="0">
            <x v="6"/>
          </reference>
        </references>
      </pivotArea>
    </format>
    <format dxfId="587">
      <pivotArea dataOnly="0" labelOnly="1" outline="0" fieldPosition="0">
        <references count="4">
          <reference field="9" count="1" selected="0">
            <x v="3"/>
          </reference>
          <reference field="10" count="1" selected="0">
            <x v="55"/>
          </reference>
          <reference field="14" count="1">
            <x v="9"/>
          </reference>
          <reference field="18" count="1" selected="0">
            <x v="8"/>
          </reference>
        </references>
      </pivotArea>
    </format>
    <format dxfId="586">
      <pivotArea dataOnly="0" labelOnly="1" outline="0" fieldPosition="0">
        <references count="4">
          <reference field="9" count="1" selected="0">
            <x v="3"/>
          </reference>
          <reference field="10" count="1" selected="0">
            <x v="55"/>
          </reference>
          <reference field="14" count="1">
            <x v="8"/>
          </reference>
          <reference field="18" count="1" selected="0">
            <x v="9"/>
          </reference>
        </references>
      </pivotArea>
    </format>
    <format dxfId="585">
      <pivotArea dataOnly="0" labelOnly="1" outline="0" fieldPosition="0">
        <references count="4">
          <reference field="9" count="1" selected="0">
            <x v="3"/>
          </reference>
          <reference field="10" count="1" selected="0">
            <x v="55"/>
          </reference>
          <reference field="14" count="1">
            <x v="16"/>
          </reference>
          <reference field="18" count="1" selected="0">
            <x v="12"/>
          </reference>
        </references>
      </pivotArea>
    </format>
    <format dxfId="584">
      <pivotArea dataOnly="0" labelOnly="1" outline="0" fieldPosition="0">
        <references count="4">
          <reference field="9" count="1" selected="0">
            <x v="3"/>
          </reference>
          <reference field="10" count="1" selected="0">
            <x v="55"/>
          </reference>
          <reference field="14" count="1">
            <x v="18"/>
          </reference>
          <reference field="18" count="1" selected="0">
            <x v="13"/>
          </reference>
        </references>
      </pivotArea>
    </format>
    <format dxfId="583">
      <pivotArea dataOnly="0" labelOnly="1" outline="0" fieldPosition="0">
        <references count="4">
          <reference field="9" count="1" selected="0">
            <x v="3"/>
          </reference>
          <reference field="10" count="1" selected="0">
            <x v="55"/>
          </reference>
          <reference field="14" count="1">
            <x v="14"/>
          </reference>
          <reference field="18" count="1" selected="0">
            <x v="18"/>
          </reference>
        </references>
      </pivotArea>
    </format>
    <format dxfId="582">
      <pivotArea dataOnly="0" labelOnly="1" outline="0" fieldPosition="0">
        <references count="4">
          <reference field="9" count="1" selected="0">
            <x v="3"/>
          </reference>
          <reference field="10" count="1" selected="0">
            <x v="55"/>
          </reference>
          <reference field="14" count="1">
            <x v="7"/>
          </reference>
          <reference field="18" count="1" selected="0">
            <x v="22"/>
          </reference>
        </references>
      </pivotArea>
    </format>
    <format dxfId="581">
      <pivotArea dataOnly="0" labelOnly="1" outline="0" fieldPosition="0">
        <references count="4">
          <reference field="9" count="1" selected="0">
            <x v="3"/>
          </reference>
          <reference field="10" count="1" selected="0">
            <x v="55"/>
          </reference>
          <reference field="14" count="1">
            <x v="22"/>
          </reference>
          <reference field="18" count="1" selected="0">
            <x v="25"/>
          </reference>
        </references>
      </pivotArea>
    </format>
    <format dxfId="580">
      <pivotArea dataOnly="0" labelOnly="1" outline="0" fieldPosition="0">
        <references count="4">
          <reference field="9" count="1" selected="0">
            <x v="3"/>
          </reference>
          <reference field="10" count="1" selected="0">
            <x v="55"/>
          </reference>
          <reference field="14" count="1">
            <x v="26"/>
          </reference>
          <reference field="18" count="1" selected="0">
            <x v="30"/>
          </reference>
        </references>
      </pivotArea>
    </format>
    <format dxfId="579">
      <pivotArea dataOnly="0" labelOnly="1" outline="0" fieldPosition="0">
        <references count="4">
          <reference field="9" count="1" selected="0">
            <x v="4"/>
          </reference>
          <reference field="10" count="1" selected="0">
            <x v="54"/>
          </reference>
          <reference field="14" count="1">
            <x v="11"/>
          </reference>
          <reference field="18" count="1" selected="0">
            <x v="3"/>
          </reference>
        </references>
      </pivotArea>
    </format>
    <format dxfId="578">
      <pivotArea dataOnly="0" labelOnly="1" outline="0" fieldPosition="0">
        <references count="4">
          <reference field="9" count="1" selected="0">
            <x v="4"/>
          </reference>
          <reference field="10" count="1" selected="0">
            <x v="54"/>
          </reference>
          <reference field="14" count="1">
            <x v="27"/>
          </reference>
          <reference field="18" count="1" selected="0">
            <x v="6"/>
          </reference>
        </references>
      </pivotArea>
    </format>
    <format dxfId="577">
      <pivotArea dataOnly="0" labelOnly="1" outline="0" fieldPosition="0">
        <references count="4">
          <reference field="9" count="1" selected="0">
            <x v="4"/>
          </reference>
          <reference field="10" count="1" selected="0">
            <x v="54"/>
          </reference>
          <reference field="14" count="1">
            <x v="10"/>
          </reference>
          <reference field="18" count="1" selected="0">
            <x v="7"/>
          </reference>
        </references>
      </pivotArea>
    </format>
    <format dxfId="576">
      <pivotArea dataOnly="0" labelOnly="1" outline="0" fieldPosition="0">
        <references count="4">
          <reference field="9" count="1" selected="0">
            <x v="4"/>
          </reference>
          <reference field="10" count="1" selected="0">
            <x v="54"/>
          </reference>
          <reference field="14" count="1">
            <x v="9"/>
          </reference>
          <reference field="18" count="1" selected="0">
            <x v="8"/>
          </reference>
        </references>
      </pivotArea>
    </format>
    <format dxfId="575">
      <pivotArea dataOnly="0" labelOnly="1" outline="0" fieldPosition="0">
        <references count="4">
          <reference field="9" count="1" selected="0">
            <x v="4"/>
          </reference>
          <reference field="10" count="1" selected="0">
            <x v="54"/>
          </reference>
          <reference field="14" count="1">
            <x v="8"/>
          </reference>
          <reference field="18" count="1" selected="0">
            <x v="9"/>
          </reference>
        </references>
      </pivotArea>
    </format>
    <format dxfId="574">
      <pivotArea dataOnly="0" labelOnly="1" outline="0" fieldPosition="0">
        <references count="4">
          <reference field="9" count="1" selected="0">
            <x v="4"/>
          </reference>
          <reference field="10" count="1" selected="0">
            <x v="54"/>
          </reference>
          <reference field="14" count="1">
            <x v="16"/>
          </reference>
          <reference field="18" count="1" selected="0">
            <x v="12"/>
          </reference>
        </references>
      </pivotArea>
    </format>
    <format dxfId="573">
      <pivotArea dataOnly="0" labelOnly="1" outline="0" fieldPosition="0">
        <references count="4">
          <reference field="9" count="1" selected="0">
            <x v="4"/>
          </reference>
          <reference field="10" count="1" selected="0">
            <x v="54"/>
          </reference>
          <reference field="14" count="1">
            <x v="25"/>
          </reference>
          <reference field="18" count="1" selected="0">
            <x v="14"/>
          </reference>
        </references>
      </pivotArea>
    </format>
    <format dxfId="572">
      <pivotArea dataOnly="0" labelOnly="1" outline="0" fieldPosition="0">
        <references count="4">
          <reference field="9" count="1" selected="0">
            <x v="4"/>
          </reference>
          <reference field="10" count="1" selected="0">
            <x v="54"/>
          </reference>
          <reference field="14" count="1">
            <x v="19"/>
          </reference>
          <reference field="18" count="1" selected="0">
            <x v="16"/>
          </reference>
        </references>
      </pivotArea>
    </format>
    <format dxfId="571">
      <pivotArea dataOnly="0" labelOnly="1" outline="0" fieldPosition="0">
        <references count="4">
          <reference field="9" count="1" selected="0">
            <x v="4"/>
          </reference>
          <reference field="10" count="1" selected="0">
            <x v="54"/>
          </reference>
          <reference field="14" count="1">
            <x v="14"/>
          </reference>
          <reference field="18" count="1" selected="0">
            <x v="18"/>
          </reference>
        </references>
      </pivotArea>
    </format>
    <format dxfId="570">
      <pivotArea dataOnly="0" labelOnly="1" outline="0" fieldPosition="0">
        <references count="4">
          <reference field="9" count="1" selected="0">
            <x v="4"/>
          </reference>
          <reference field="10" count="1" selected="0">
            <x v="54"/>
          </reference>
          <reference field="14" count="1">
            <x v="7"/>
          </reference>
          <reference field="18" count="1" selected="0">
            <x v="22"/>
          </reference>
        </references>
      </pivotArea>
    </format>
    <format dxfId="569">
      <pivotArea dataOnly="0" labelOnly="1" outline="0" fieldPosition="0">
        <references count="4">
          <reference field="9" count="1" selected="0">
            <x v="4"/>
          </reference>
          <reference field="10" count="1" selected="0">
            <x v="54"/>
          </reference>
          <reference field="14" count="1">
            <x v="23"/>
          </reference>
          <reference field="18" count="1" selected="0">
            <x v="24"/>
          </reference>
        </references>
      </pivotArea>
    </format>
    <format dxfId="568">
      <pivotArea dataOnly="0" labelOnly="1" outline="0" fieldPosition="0">
        <references count="4">
          <reference field="9" count="1" selected="0">
            <x v="4"/>
          </reference>
          <reference field="10" count="1" selected="0">
            <x v="54"/>
          </reference>
          <reference field="14" count="1">
            <x v="22"/>
          </reference>
          <reference field="18" count="1" selected="0">
            <x v="25"/>
          </reference>
        </references>
      </pivotArea>
    </format>
    <format dxfId="567">
      <pivotArea dataOnly="0" labelOnly="1" outline="0" fieldPosition="0">
        <references count="4">
          <reference field="9" count="1" selected="0">
            <x v="5"/>
          </reference>
          <reference field="10" count="1" selected="0">
            <x v="59"/>
          </reference>
          <reference field="14" count="1">
            <x v="4"/>
          </reference>
          <reference field="18" count="1" selected="0">
            <x v="0"/>
          </reference>
        </references>
      </pivotArea>
    </format>
    <format dxfId="566">
      <pivotArea dataOnly="0" labelOnly="1" outline="0" fieldPosition="0">
        <references count="4">
          <reference field="9" count="1" selected="0">
            <x v="5"/>
          </reference>
          <reference field="10" count="1" selected="0">
            <x v="59"/>
          </reference>
          <reference field="14" count="1">
            <x v="11"/>
          </reference>
          <reference field="18" count="1" selected="0">
            <x v="3"/>
          </reference>
        </references>
      </pivotArea>
    </format>
    <format dxfId="565">
      <pivotArea dataOnly="0" labelOnly="1" outline="0" fieldPosition="0">
        <references count="4">
          <reference field="9" count="1" selected="0">
            <x v="5"/>
          </reference>
          <reference field="10" count="1" selected="0">
            <x v="59"/>
          </reference>
          <reference field="14" count="1">
            <x v="28"/>
          </reference>
          <reference field="18" count="1" selected="0">
            <x v="5"/>
          </reference>
        </references>
      </pivotArea>
    </format>
    <format dxfId="564">
      <pivotArea dataOnly="0" labelOnly="1" outline="0" fieldPosition="0">
        <references count="4">
          <reference field="9" count="1" selected="0">
            <x v="5"/>
          </reference>
          <reference field="10" count="1" selected="0">
            <x v="59"/>
          </reference>
          <reference field="14" count="1">
            <x v="27"/>
          </reference>
          <reference field="18" count="1" selected="0">
            <x v="6"/>
          </reference>
        </references>
      </pivotArea>
    </format>
    <format dxfId="563">
      <pivotArea dataOnly="0" labelOnly="1" outline="0" fieldPosition="0">
        <references count="4">
          <reference field="9" count="1" selected="0">
            <x v="5"/>
          </reference>
          <reference field="10" count="1" selected="0">
            <x v="59"/>
          </reference>
          <reference field="14" count="1">
            <x v="10"/>
          </reference>
          <reference field="18" count="1" selected="0">
            <x v="7"/>
          </reference>
        </references>
      </pivotArea>
    </format>
    <format dxfId="562">
      <pivotArea dataOnly="0" labelOnly="1" outline="0" fieldPosition="0">
        <references count="4">
          <reference field="9" count="1" selected="0">
            <x v="5"/>
          </reference>
          <reference field="10" count="1" selected="0">
            <x v="59"/>
          </reference>
          <reference field="14" count="1">
            <x v="9"/>
          </reference>
          <reference field="18" count="1" selected="0">
            <x v="8"/>
          </reference>
        </references>
      </pivotArea>
    </format>
    <format dxfId="561">
      <pivotArea dataOnly="0" labelOnly="1" outline="0" fieldPosition="0">
        <references count="4">
          <reference field="9" count="1" selected="0">
            <x v="5"/>
          </reference>
          <reference field="10" count="1" selected="0">
            <x v="59"/>
          </reference>
          <reference field="14" count="1">
            <x v="8"/>
          </reference>
          <reference field="18" count="1" selected="0">
            <x v="9"/>
          </reference>
        </references>
      </pivotArea>
    </format>
    <format dxfId="560">
      <pivotArea dataOnly="0" labelOnly="1" outline="0" fieldPosition="0">
        <references count="4">
          <reference field="9" count="1" selected="0">
            <x v="5"/>
          </reference>
          <reference field="10" count="1" selected="0">
            <x v="59"/>
          </reference>
          <reference field="14" count="1">
            <x v="16"/>
          </reference>
          <reference field="18" count="1" selected="0">
            <x v="12"/>
          </reference>
        </references>
      </pivotArea>
    </format>
    <format dxfId="559">
      <pivotArea dataOnly="0" labelOnly="1" outline="0" fieldPosition="0">
        <references count="4">
          <reference field="9" count="1" selected="0">
            <x v="5"/>
          </reference>
          <reference field="10" count="1" selected="0">
            <x v="59"/>
          </reference>
          <reference field="14" count="1">
            <x v="15"/>
          </reference>
          <reference field="18" count="1" selected="0">
            <x v="15"/>
          </reference>
        </references>
      </pivotArea>
    </format>
    <format dxfId="558">
      <pivotArea dataOnly="0" labelOnly="1" outline="0" fieldPosition="0">
        <references count="4">
          <reference field="9" count="1" selected="0">
            <x v="5"/>
          </reference>
          <reference field="10" count="1" selected="0">
            <x v="59"/>
          </reference>
          <reference field="14" count="1">
            <x v="19"/>
          </reference>
          <reference field="18" count="1" selected="0">
            <x v="16"/>
          </reference>
        </references>
      </pivotArea>
    </format>
    <format dxfId="557">
      <pivotArea dataOnly="0" labelOnly="1" outline="0" fieldPosition="0">
        <references count="4">
          <reference field="9" count="1" selected="0">
            <x v="5"/>
          </reference>
          <reference field="10" count="1" selected="0">
            <x v="59"/>
          </reference>
          <reference field="14" count="1">
            <x v="14"/>
          </reference>
          <reference field="18" count="1" selected="0">
            <x v="18"/>
          </reference>
        </references>
      </pivotArea>
    </format>
    <format dxfId="556">
      <pivotArea dataOnly="0" labelOnly="1" outline="0" fieldPosition="0">
        <references count="4">
          <reference field="9" count="1" selected="0">
            <x v="5"/>
          </reference>
          <reference field="10" count="1" selected="0">
            <x v="59"/>
          </reference>
          <reference field="14" count="1">
            <x v="7"/>
          </reference>
          <reference field="18" count="1" selected="0">
            <x v="22"/>
          </reference>
        </references>
      </pivotArea>
    </format>
    <format dxfId="555">
      <pivotArea dataOnly="0" labelOnly="1" outline="0" fieldPosition="0">
        <references count="4">
          <reference field="9" count="1" selected="0">
            <x v="5"/>
          </reference>
          <reference field="10" count="1" selected="0">
            <x v="59"/>
          </reference>
          <reference field="14" count="1">
            <x v="23"/>
          </reference>
          <reference field="18" count="1" selected="0">
            <x v="24"/>
          </reference>
        </references>
      </pivotArea>
    </format>
    <format dxfId="554">
      <pivotArea dataOnly="0" labelOnly="1" outline="0" fieldPosition="0">
        <references count="4">
          <reference field="9" count="1" selected="0">
            <x v="5"/>
          </reference>
          <reference field="10" count="1" selected="0">
            <x v="59"/>
          </reference>
          <reference field="14" count="1">
            <x v="22"/>
          </reference>
          <reference field="18" count="1" selected="0">
            <x v="25"/>
          </reference>
        </references>
      </pivotArea>
    </format>
    <format dxfId="553">
      <pivotArea dataOnly="0" labelOnly="1" outline="0" fieldPosition="0">
        <references count="4">
          <reference field="9" count="1" selected="0">
            <x v="5"/>
          </reference>
          <reference field="10" count="1" selected="0">
            <x v="59"/>
          </reference>
          <reference field="14" count="1">
            <x v="29"/>
          </reference>
          <reference field="18" count="1" selected="0">
            <x v="29"/>
          </reference>
        </references>
      </pivotArea>
    </format>
    <format dxfId="552">
      <pivotArea dataOnly="0" labelOnly="1" outline="0" fieldPosition="0">
        <references count="4">
          <reference field="9" count="1" selected="0">
            <x v="5"/>
          </reference>
          <reference field="10" count="1" selected="0">
            <x v="59"/>
          </reference>
          <reference field="14" count="1">
            <x v="26"/>
          </reference>
          <reference field="18" count="1" selected="0">
            <x v="30"/>
          </reference>
        </references>
      </pivotArea>
    </format>
    <format dxfId="551">
      <pivotArea dataOnly="0" labelOnly="1" outline="0" fieldPosition="0">
        <references count="4">
          <reference field="9" count="1" selected="0">
            <x v="6"/>
          </reference>
          <reference field="10" count="1" selected="0">
            <x v="53"/>
          </reference>
          <reference field="14" count="1">
            <x v="3"/>
          </reference>
          <reference field="18" count="1" selected="0">
            <x v="20"/>
          </reference>
        </references>
      </pivotArea>
    </format>
    <format dxfId="550">
      <pivotArea dataOnly="0" labelOnly="1" outline="0" fieldPosition="0">
        <references count="4">
          <reference field="9" count="1" selected="0">
            <x v="7"/>
          </reference>
          <reference field="10" count="1" selected="0">
            <x v="60"/>
          </reference>
          <reference field="14" count="1">
            <x v="31"/>
          </reference>
          <reference field="18" count="1" selected="0">
            <x v="31"/>
          </reference>
        </references>
      </pivotArea>
    </format>
    <format dxfId="549">
      <pivotArea dataOnly="0" labelOnly="1" outline="0" fieldPosition="0">
        <references count="4">
          <reference field="9" count="1" selected="0">
            <x v="8"/>
          </reference>
          <reference field="10" count="1" selected="0">
            <x v="61"/>
          </reference>
          <reference field="14" count="1">
            <x v="28"/>
          </reference>
          <reference field="18" count="1" selected="0">
            <x v="5"/>
          </reference>
        </references>
      </pivotArea>
    </format>
    <format dxfId="548">
      <pivotArea dataOnly="0" labelOnly="1" outline="0" fieldPosition="0">
        <references count="4">
          <reference field="9" count="1" selected="0">
            <x v="8"/>
          </reference>
          <reference field="10" count="1" selected="0">
            <x v="61"/>
          </reference>
          <reference field="14" count="1">
            <x v="9"/>
          </reference>
          <reference field="18" count="1" selected="0">
            <x v="8"/>
          </reference>
        </references>
      </pivotArea>
    </format>
    <format dxfId="547">
      <pivotArea dataOnly="0" labelOnly="1" outline="0" fieldPosition="0">
        <references count="4">
          <reference field="9" count="1" selected="0">
            <x v="8"/>
          </reference>
          <reference field="10" count="1" selected="0">
            <x v="61"/>
          </reference>
          <reference field="14" count="1">
            <x v="8"/>
          </reference>
          <reference field="18" count="1" selected="0">
            <x v="9"/>
          </reference>
        </references>
      </pivotArea>
    </format>
    <format dxfId="546">
      <pivotArea dataOnly="0" labelOnly="1" outline="0" fieldPosition="0">
        <references count="4">
          <reference field="9" count="1" selected="0">
            <x v="8"/>
          </reference>
          <reference field="10" count="1" selected="0">
            <x v="61"/>
          </reference>
          <reference field="14" count="1">
            <x v="16"/>
          </reference>
          <reference field="18" count="1" selected="0">
            <x v="12"/>
          </reference>
        </references>
      </pivotArea>
    </format>
    <format dxfId="545">
      <pivotArea dataOnly="0" labelOnly="1" outline="0" fieldPosition="0">
        <references count="4">
          <reference field="9" count="1" selected="0">
            <x v="8"/>
          </reference>
          <reference field="10" count="1" selected="0">
            <x v="61"/>
          </reference>
          <reference field="14" count="1">
            <x v="7"/>
          </reference>
          <reference field="18" count="1" selected="0">
            <x v="22"/>
          </reference>
        </references>
      </pivotArea>
    </format>
    <format dxfId="544">
      <pivotArea dataOnly="0" labelOnly="1" outline="0" fieldPosition="0">
        <references count="4">
          <reference field="9" count="1" selected="0">
            <x v="8"/>
          </reference>
          <reference field="10" count="1" selected="0">
            <x v="61"/>
          </reference>
          <reference field="14" count="1">
            <x v="23"/>
          </reference>
          <reference field="18" count="1" selected="0">
            <x v="24"/>
          </reference>
        </references>
      </pivotArea>
    </format>
    <format dxfId="543">
      <pivotArea dataOnly="0" labelOnly="1" outline="0" fieldPosition="0">
        <references count="4">
          <reference field="9" count="1" selected="0">
            <x v="8"/>
          </reference>
          <reference field="10" count="1" selected="0">
            <x v="61"/>
          </reference>
          <reference field="14" count="1">
            <x v="22"/>
          </reference>
          <reference field="18" count="1" selected="0">
            <x v="25"/>
          </reference>
        </references>
      </pivotArea>
    </format>
    <format dxfId="542">
      <pivotArea dataOnly="0" labelOnly="1" outline="0" fieldPosition="0">
        <references count="4">
          <reference field="9" count="1" selected="0">
            <x v="8"/>
          </reference>
          <reference field="10" count="1" selected="0">
            <x v="61"/>
          </reference>
          <reference field="14" count="1">
            <x v="29"/>
          </reference>
          <reference field="18" count="1" selected="0">
            <x v="29"/>
          </reference>
        </references>
      </pivotArea>
    </format>
    <format dxfId="541">
      <pivotArea dataOnly="0" labelOnly="1" outline="0" fieldPosition="0">
        <references count="4">
          <reference field="9" count="1" selected="0">
            <x v="8"/>
          </reference>
          <reference field="10" count="1" selected="0">
            <x v="61"/>
          </reference>
          <reference field="14" count="1">
            <x v="26"/>
          </reference>
          <reference field="18" count="1" selected="0">
            <x v="30"/>
          </reference>
        </references>
      </pivotArea>
    </format>
    <format dxfId="540">
      <pivotArea dataOnly="0" labelOnly="1" outline="0" fieldPosition="0">
        <references count="4">
          <reference field="9" count="1" selected="0">
            <x v="8"/>
          </reference>
          <reference field="10" count="1" selected="0">
            <x v="61"/>
          </reference>
          <reference field="14" count="1">
            <x v="31"/>
          </reference>
          <reference field="18" count="1" selected="0">
            <x v="31"/>
          </reference>
        </references>
      </pivotArea>
    </format>
    <format dxfId="539">
      <pivotArea dataOnly="0" labelOnly="1" outline="0" fieldPosition="0">
        <references count="4">
          <reference field="9" count="1" selected="0">
            <x v="9"/>
          </reference>
          <reference field="10" count="1" selected="0">
            <x v="62"/>
          </reference>
          <reference field="14" count="1">
            <x v="4"/>
          </reference>
          <reference field="18" count="1" selected="0">
            <x v="0"/>
          </reference>
        </references>
      </pivotArea>
    </format>
    <format dxfId="538">
      <pivotArea dataOnly="0" labelOnly="1" outline="0" fieldPosition="0">
        <references count="4">
          <reference field="9" count="1" selected="0">
            <x v="9"/>
          </reference>
          <reference field="10" count="1" selected="0">
            <x v="62"/>
          </reference>
          <reference field="14" count="1">
            <x v="11"/>
          </reference>
          <reference field="18" count="1" selected="0">
            <x v="3"/>
          </reference>
        </references>
      </pivotArea>
    </format>
    <format dxfId="537">
      <pivotArea dataOnly="0" labelOnly="1" outline="0" fieldPosition="0">
        <references count="4">
          <reference field="9" count="1" selected="0">
            <x v="9"/>
          </reference>
          <reference field="10" count="1" selected="0">
            <x v="62"/>
          </reference>
          <reference field="14" count="1">
            <x v="6"/>
          </reference>
          <reference field="18" count="1" selected="0">
            <x v="4"/>
          </reference>
        </references>
      </pivotArea>
    </format>
    <format dxfId="536">
      <pivotArea dataOnly="0" labelOnly="1" outline="0" fieldPosition="0">
        <references count="4">
          <reference field="9" count="1" selected="0">
            <x v="9"/>
          </reference>
          <reference field="10" count="1" selected="0">
            <x v="62"/>
          </reference>
          <reference field="14" count="1">
            <x v="28"/>
          </reference>
          <reference field="18" count="1" selected="0">
            <x v="5"/>
          </reference>
        </references>
      </pivotArea>
    </format>
    <format dxfId="535">
      <pivotArea dataOnly="0" labelOnly="1" outline="0" fieldPosition="0">
        <references count="4">
          <reference field="9" count="1" selected="0">
            <x v="9"/>
          </reference>
          <reference field="10" count="1" selected="0">
            <x v="62"/>
          </reference>
          <reference field="14" count="1">
            <x v="27"/>
          </reference>
          <reference field="18" count="1" selected="0">
            <x v="6"/>
          </reference>
        </references>
      </pivotArea>
    </format>
    <format dxfId="534">
      <pivotArea dataOnly="0" labelOnly="1" outline="0" fieldPosition="0">
        <references count="4">
          <reference field="9" count="1" selected="0">
            <x v="9"/>
          </reference>
          <reference field="10" count="1" selected="0">
            <x v="62"/>
          </reference>
          <reference field="14" count="1">
            <x v="9"/>
          </reference>
          <reference field="18" count="1" selected="0">
            <x v="8"/>
          </reference>
        </references>
      </pivotArea>
    </format>
    <format dxfId="533">
      <pivotArea dataOnly="0" labelOnly="1" outline="0" fieldPosition="0">
        <references count="4">
          <reference field="9" count="1" selected="0">
            <x v="9"/>
          </reference>
          <reference field="10" count="1" selected="0">
            <x v="62"/>
          </reference>
          <reference field="14" count="1">
            <x v="8"/>
          </reference>
          <reference field="18" count="1" selected="0">
            <x v="9"/>
          </reference>
        </references>
      </pivotArea>
    </format>
    <format dxfId="532">
      <pivotArea dataOnly="0" labelOnly="1" outline="0" fieldPosition="0">
        <references count="4">
          <reference field="9" count="1" selected="0">
            <x v="9"/>
          </reference>
          <reference field="10" count="1" selected="0">
            <x v="62"/>
          </reference>
          <reference field="14" count="1">
            <x v="16"/>
          </reference>
          <reference field="18" count="1" selected="0">
            <x v="12"/>
          </reference>
        </references>
      </pivotArea>
    </format>
    <format dxfId="531">
      <pivotArea dataOnly="0" labelOnly="1" outline="0" fieldPosition="0">
        <references count="4">
          <reference field="9" count="1" selected="0">
            <x v="9"/>
          </reference>
          <reference field="10" count="1" selected="0">
            <x v="62"/>
          </reference>
          <reference field="14" count="1">
            <x v="25"/>
          </reference>
          <reference field="18" count="1" selected="0">
            <x v="14"/>
          </reference>
        </references>
      </pivotArea>
    </format>
    <format dxfId="530">
      <pivotArea dataOnly="0" labelOnly="1" outline="0" fieldPosition="0">
        <references count="4">
          <reference field="9" count="1" selected="0">
            <x v="9"/>
          </reference>
          <reference field="10" count="1" selected="0">
            <x v="62"/>
          </reference>
          <reference field="14" count="1">
            <x v="14"/>
          </reference>
          <reference field="18" count="1" selected="0">
            <x v="18"/>
          </reference>
        </references>
      </pivotArea>
    </format>
    <format dxfId="529">
      <pivotArea dataOnly="0" labelOnly="1" outline="0" fieldPosition="0">
        <references count="4">
          <reference field="9" count="1" selected="0">
            <x v="9"/>
          </reference>
          <reference field="10" count="1" selected="0">
            <x v="62"/>
          </reference>
          <reference field="14" count="1">
            <x v="24"/>
          </reference>
          <reference field="18" count="1" selected="0">
            <x v="19"/>
          </reference>
        </references>
      </pivotArea>
    </format>
    <format dxfId="528">
      <pivotArea dataOnly="0" labelOnly="1" outline="0" fieldPosition="0">
        <references count="4">
          <reference field="9" count="1" selected="0">
            <x v="9"/>
          </reference>
          <reference field="10" count="1" selected="0">
            <x v="62"/>
          </reference>
          <reference field="14" count="1">
            <x v="7"/>
          </reference>
          <reference field="18" count="1" selected="0">
            <x v="22"/>
          </reference>
        </references>
      </pivotArea>
    </format>
    <format dxfId="527">
      <pivotArea dataOnly="0" labelOnly="1" outline="0" fieldPosition="0">
        <references count="4">
          <reference field="9" count="1" selected="0">
            <x v="9"/>
          </reference>
          <reference field="10" count="1" selected="0">
            <x v="62"/>
          </reference>
          <reference field="14" count="1">
            <x v="23"/>
          </reference>
          <reference field="18" count="1" selected="0">
            <x v="24"/>
          </reference>
        </references>
      </pivotArea>
    </format>
    <format dxfId="526">
      <pivotArea dataOnly="0" labelOnly="1" outline="0" fieldPosition="0">
        <references count="4">
          <reference field="9" count="1" selected="0">
            <x v="9"/>
          </reference>
          <reference field="10" count="1" selected="0">
            <x v="62"/>
          </reference>
          <reference field="14" count="1">
            <x v="22"/>
          </reference>
          <reference field="18" count="1" selected="0">
            <x v="25"/>
          </reference>
        </references>
      </pivotArea>
    </format>
    <format dxfId="525">
      <pivotArea dataOnly="0" labelOnly="1" outline="0" fieldPosition="0">
        <references count="4">
          <reference field="9" count="1" selected="0">
            <x v="9"/>
          </reference>
          <reference field="10" count="1" selected="0">
            <x v="62"/>
          </reference>
          <reference field="14" count="1">
            <x v="29"/>
          </reference>
          <reference field="18" count="1" selected="0">
            <x v="29"/>
          </reference>
        </references>
      </pivotArea>
    </format>
    <format dxfId="524">
      <pivotArea dataOnly="0" labelOnly="1" outline="0" fieldPosition="0">
        <references count="4">
          <reference field="9" count="1" selected="0">
            <x v="9"/>
          </reference>
          <reference field="10" count="1" selected="0">
            <x v="62"/>
          </reference>
          <reference field="14" count="1">
            <x v="26"/>
          </reference>
          <reference field="18" count="1" selected="0">
            <x v="30"/>
          </reference>
        </references>
      </pivotArea>
    </format>
    <format dxfId="523">
      <pivotArea dataOnly="0" labelOnly="1" outline="0" fieldPosition="0">
        <references count="4">
          <reference field="9" count="1" selected="0">
            <x v="9"/>
          </reference>
          <reference field="10" count="1" selected="0">
            <x v="62"/>
          </reference>
          <reference field="14" count="1">
            <x v="31"/>
          </reference>
          <reference field="18" count="1" selected="0">
            <x v="31"/>
          </reference>
        </references>
      </pivotArea>
    </format>
    <format dxfId="522">
      <pivotArea dataOnly="0" labelOnly="1" outline="0" fieldPosition="0">
        <references count="4">
          <reference field="9" count="1" selected="0">
            <x v="10"/>
          </reference>
          <reference field="10" count="1" selected="0">
            <x v="10"/>
          </reference>
          <reference field="14" count="1">
            <x v="1"/>
          </reference>
          <reference field="18" count="1" selected="0">
            <x v="1"/>
          </reference>
        </references>
      </pivotArea>
    </format>
    <format dxfId="521">
      <pivotArea dataOnly="0" labelOnly="1" outline="0" fieldPosition="0">
        <references count="4">
          <reference field="9" count="1" selected="0">
            <x v="10"/>
          </reference>
          <reference field="10" count="1" selected="0">
            <x v="10"/>
          </reference>
          <reference field="14" count="1">
            <x v="11"/>
          </reference>
          <reference field="18" count="1" selected="0">
            <x v="3"/>
          </reference>
        </references>
      </pivotArea>
    </format>
    <format dxfId="520">
      <pivotArea dataOnly="0" labelOnly="1" outline="0" fieldPosition="0">
        <references count="4">
          <reference field="9" count="1" selected="0">
            <x v="10"/>
          </reference>
          <reference field="10" count="1" selected="0">
            <x v="10"/>
          </reference>
          <reference field="14" count="1">
            <x v="10"/>
          </reference>
          <reference field="18" count="1" selected="0">
            <x v="7"/>
          </reference>
        </references>
      </pivotArea>
    </format>
    <format dxfId="519">
      <pivotArea dataOnly="0" labelOnly="1" outline="0" fieldPosition="0">
        <references count="4">
          <reference field="9" count="1" selected="0">
            <x v="10"/>
          </reference>
          <reference field="10" count="1" selected="0">
            <x v="10"/>
          </reference>
          <reference field="14" count="1">
            <x v="17"/>
          </reference>
          <reference field="18" count="1" selected="0">
            <x v="11"/>
          </reference>
        </references>
      </pivotArea>
    </format>
    <format dxfId="518">
      <pivotArea dataOnly="0" labelOnly="1" outline="0" fieldPosition="0">
        <references count="4">
          <reference field="9" count="1" selected="0">
            <x v="10"/>
          </reference>
          <reference field="10" count="1" selected="0">
            <x v="10"/>
          </reference>
          <reference field="14" count="1">
            <x v="16"/>
          </reference>
          <reference field="18" count="1" selected="0">
            <x v="12"/>
          </reference>
        </references>
      </pivotArea>
    </format>
    <format dxfId="517">
      <pivotArea dataOnly="0" labelOnly="1" outline="0" fieldPosition="0">
        <references count="4">
          <reference field="9" count="1" selected="0">
            <x v="10"/>
          </reference>
          <reference field="10" count="1" selected="0">
            <x v="10"/>
          </reference>
          <reference field="14" count="1">
            <x v="25"/>
          </reference>
          <reference field="18" count="1" selected="0">
            <x v="14"/>
          </reference>
        </references>
      </pivotArea>
    </format>
    <format dxfId="516">
      <pivotArea dataOnly="0" labelOnly="1" outline="0" fieldPosition="0">
        <references count="4">
          <reference field="9" count="1" selected="0">
            <x v="10"/>
          </reference>
          <reference field="10" count="1" selected="0">
            <x v="10"/>
          </reference>
          <reference field="14" count="1">
            <x v="15"/>
          </reference>
          <reference field="18" count="1" selected="0">
            <x v="15"/>
          </reference>
        </references>
      </pivotArea>
    </format>
    <format dxfId="515">
      <pivotArea dataOnly="0" labelOnly="1" outline="0" fieldPosition="0">
        <references count="4">
          <reference field="9" count="1" selected="0">
            <x v="10"/>
          </reference>
          <reference field="10" count="1" selected="0">
            <x v="10"/>
          </reference>
          <reference field="14" count="1">
            <x v="12"/>
          </reference>
          <reference field="18" count="1" selected="0">
            <x v="21"/>
          </reference>
        </references>
      </pivotArea>
    </format>
    <format dxfId="514">
      <pivotArea dataOnly="0" labelOnly="1" outline="0" fieldPosition="0">
        <references count="4">
          <reference field="9" count="1" selected="0">
            <x v="10"/>
          </reference>
          <reference field="10" count="1" selected="0">
            <x v="10"/>
          </reference>
          <reference field="14" count="1">
            <x v="7"/>
          </reference>
          <reference field="18" count="1" selected="0">
            <x v="22"/>
          </reference>
        </references>
      </pivotArea>
    </format>
    <format dxfId="513">
      <pivotArea dataOnly="0" labelOnly="1" outline="0" fieldPosition="0">
        <references count="4">
          <reference field="9" count="1" selected="0">
            <x v="10"/>
          </reference>
          <reference field="10" count="1" selected="0">
            <x v="10"/>
          </reference>
          <reference field="14" count="1">
            <x v="5"/>
          </reference>
          <reference field="18" count="1" selected="0">
            <x v="28"/>
          </reference>
        </references>
      </pivotArea>
    </format>
    <format dxfId="512">
      <pivotArea dataOnly="0" labelOnly="1" outline="0" fieldPosition="0">
        <references count="4">
          <reference field="9" count="1" selected="0">
            <x v="10"/>
          </reference>
          <reference field="10" count="1" selected="0">
            <x v="10"/>
          </reference>
          <reference field="14" count="1">
            <x v="29"/>
          </reference>
          <reference field="18" count="1" selected="0">
            <x v="29"/>
          </reference>
        </references>
      </pivotArea>
    </format>
    <format dxfId="511">
      <pivotArea dataOnly="0" labelOnly="1" outline="0" fieldPosition="0">
        <references count="4">
          <reference field="9" count="1" selected="0">
            <x v="11"/>
          </reference>
          <reference field="10" count="1" selected="0">
            <x v="14"/>
          </reference>
          <reference field="14" count="1">
            <x v="11"/>
          </reference>
          <reference field="18" count="1" selected="0">
            <x v="3"/>
          </reference>
        </references>
      </pivotArea>
    </format>
    <format dxfId="510">
      <pivotArea dataOnly="0" labelOnly="1" outline="0" fieldPosition="0">
        <references count="4">
          <reference field="9" count="1" selected="0">
            <x v="12"/>
          </reference>
          <reference field="10" count="1" selected="0">
            <x v="18"/>
          </reference>
          <reference field="14" count="1">
            <x v="4"/>
          </reference>
          <reference field="18" count="1" selected="0">
            <x v="0"/>
          </reference>
        </references>
      </pivotArea>
    </format>
    <format dxfId="509">
      <pivotArea dataOnly="0" labelOnly="1" outline="0" fieldPosition="0">
        <references count="4">
          <reference field="9" count="1" selected="0">
            <x v="12"/>
          </reference>
          <reference field="10" count="1" selected="0">
            <x v="18"/>
          </reference>
          <reference field="14" count="1">
            <x v="1"/>
          </reference>
          <reference field="18" count="1" selected="0">
            <x v="1"/>
          </reference>
        </references>
      </pivotArea>
    </format>
    <format dxfId="508">
      <pivotArea dataOnly="0" labelOnly="1" outline="0" fieldPosition="0">
        <references count="4">
          <reference field="9" count="1" selected="0">
            <x v="12"/>
          </reference>
          <reference field="10" count="1" selected="0">
            <x v="18"/>
          </reference>
          <reference field="14" count="1">
            <x v="11"/>
          </reference>
          <reference field="18" count="1" selected="0">
            <x v="3"/>
          </reference>
        </references>
      </pivotArea>
    </format>
    <format dxfId="507">
      <pivotArea dataOnly="0" labelOnly="1" outline="0" fieldPosition="0">
        <references count="4">
          <reference field="9" count="1" selected="0">
            <x v="12"/>
          </reference>
          <reference field="10" count="1" selected="0">
            <x v="18"/>
          </reference>
          <reference field="14" count="1">
            <x v="10"/>
          </reference>
          <reference field="18" count="1" selected="0">
            <x v="7"/>
          </reference>
        </references>
      </pivotArea>
    </format>
    <format dxfId="506">
      <pivotArea dataOnly="0" labelOnly="1" outline="0" fieldPosition="0">
        <references count="4">
          <reference field="9" count="1" selected="0">
            <x v="12"/>
          </reference>
          <reference field="10" count="1" selected="0">
            <x v="18"/>
          </reference>
          <reference field="14" count="1">
            <x v="9"/>
          </reference>
          <reference field="18" count="1" selected="0">
            <x v="8"/>
          </reference>
        </references>
      </pivotArea>
    </format>
    <format dxfId="505">
      <pivotArea dataOnly="0" labelOnly="1" outline="0" fieldPosition="0">
        <references count="4">
          <reference field="9" count="1" selected="0">
            <x v="12"/>
          </reference>
          <reference field="10" count="1" selected="0">
            <x v="18"/>
          </reference>
          <reference field="14" count="1">
            <x v="8"/>
          </reference>
          <reference field="18" count="1" selected="0">
            <x v="9"/>
          </reference>
        </references>
      </pivotArea>
    </format>
    <format dxfId="504">
      <pivotArea dataOnly="0" labelOnly="1" outline="0" fieldPosition="0">
        <references count="4">
          <reference field="9" count="1" selected="0">
            <x v="12"/>
          </reference>
          <reference field="10" count="1" selected="0">
            <x v="18"/>
          </reference>
          <reference field="14" count="1">
            <x v="17"/>
          </reference>
          <reference field="18" count="1" selected="0">
            <x v="11"/>
          </reference>
        </references>
      </pivotArea>
    </format>
    <format dxfId="503">
      <pivotArea dataOnly="0" labelOnly="1" outline="0" fieldPosition="0">
        <references count="4">
          <reference field="9" count="1" selected="0">
            <x v="12"/>
          </reference>
          <reference field="10" count="1" selected="0">
            <x v="18"/>
          </reference>
          <reference field="14" count="1">
            <x v="16"/>
          </reference>
          <reference field="18" count="1" selected="0">
            <x v="12"/>
          </reference>
        </references>
      </pivotArea>
    </format>
    <format dxfId="502">
      <pivotArea dataOnly="0" labelOnly="1" outline="0" fieldPosition="0">
        <references count="4">
          <reference field="9" count="1" selected="0">
            <x v="12"/>
          </reference>
          <reference field="10" count="1" selected="0">
            <x v="18"/>
          </reference>
          <reference field="14" count="1">
            <x v="18"/>
          </reference>
          <reference field="18" count="1" selected="0">
            <x v="13"/>
          </reference>
        </references>
      </pivotArea>
    </format>
    <format dxfId="501">
      <pivotArea dataOnly="0" labelOnly="1" outline="0" fieldPosition="0">
        <references count="4">
          <reference field="9" count="1" selected="0">
            <x v="12"/>
          </reference>
          <reference field="10" count="1" selected="0">
            <x v="18"/>
          </reference>
          <reference field="14" count="1">
            <x v="25"/>
          </reference>
          <reference field="18" count="1" selected="0">
            <x v="14"/>
          </reference>
        </references>
      </pivotArea>
    </format>
    <format dxfId="500">
      <pivotArea dataOnly="0" labelOnly="1" outline="0" fieldPosition="0">
        <references count="4">
          <reference field="9" count="1" selected="0">
            <x v="12"/>
          </reference>
          <reference field="10" count="1" selected="0">
            <x v="18"/>
          </reference>
          <reference field="14" count="1">
            <x v="15"/>
          </reference>
          <reference field="18" count="1" selected="0">
            <x v="15"/>
          </reference>
        </references>
      </pivotArea>
    </format>
    <format dxfId="499">
      <pivotArea dataOnly="0" labelOnly="1" outline="0" fieldPosition="0">
        <references count="4">
          <reference field="9" count="1" selected="0">
            <x v="12"/>
          </reference>
          <reference field="10" count="1" selected="0">
            <x v="18"/>
          </reference>
          <reference field="14" count="1">
            <x v="19"/>
          </reference>
          <reference field="18" count="1" selected="0">
            <x v="16"/>
          </reference>
        </references>
      </pivotArea>
    </format>
    <format dxfId="498">
      <pivotArea dataOnly="0" labelOnly="1" outline="0" fieldPosition="0">
        <references count="4">
          <reference field="9" count="1" selected="0">
            <x v="12"/>
          </reference>
          <reference field="10" count="1" selected="0">
            <x v="18"/>
          </reference>
          <reference field="14" count="1">
            <x v="14"/>
          </reference>
          <reference field="18" count="1" selected="0">
            <x v="18"/>
          </reference>
        </references>
      </pivotArea>
    </format>
    <format dxfId="497">
      <pivotArea dataOnly="0" labelOnly="1" outline="0" fieldPosition="0">
        <references count="4">
          <reference field="9" count="1" selected="0">
            <x v="12"/>
          </reference>
          <reference field="10" count="1" selected="0">
            <x v="18"/>
          </reference>
          <reference field="14" count="1">
            <x v="7"/>
          </reference>
          <reference field="18" count="1" selected="0">
            <x v="22"/>
          </reference>
        </references>
      </pivotArea>
    </format>
    <format dxfId="496">
      <pivotArea dataOnly="0" labelOnly="1" outline="0" fieldPosition="0">
        <references count="4">
          <reference field="9" count="1" selected="0">
            <x v="12"/>
          </reference>
          <reference field="10" count="1" selected="0">
            <x v="18"/>
          </reference>
          <reference field="14" count="1">
            <x v="21"/>
          </reference>
          <reference field="18" count="1" selected="0">
            <x v="27"/>
          </reference>
        </references>
      </pivotArea>
    </format>
    <format dxfId="495">
      <pivotArea dataOnly="0" labelOnly="1" outline="0" fieldPosition="0">
        <references count="4">
          <reference field="9" count="1" selected="0">
            <x v="12"/>
          </reference>
          <reference field="10" count="1" selected="0">
            <x v="18"/>
          </reference>
          <reference field="14" count="1">
            <x v="5"/>
          </reference>
          <reference field="18" count="1" selected="0">
            <x v="28"/>
          </reference>
        </references>
      </pivotArea>
    </format>
    <format dxfId="494">
      <pivotArea dataOnly="0" labelOnly="1" outline="0" fieldPosition="0">
        <references count="4">
          <reference field="9" count="1" selected="0">
            <x v="12"/>
          </reference>
          <reference field="10" count="1" selected="0">
            <x v="18"/>
          </reference>
          <reference field="14" count="1">
            <x v="29"/>
          </reference>
          <reference field="18" count="1" selected="0">
            <x v="29"/>
          </reference>
        </references>
      </pivotArea>
    </format>
    <format dxfId="493">
      <pivotArea dataOnly="0" labelOnly="1" outline="0" fieldPosition="0">
        <references count="4">
          <reference field="9" count="1" selected="0">
            <x v="12"/>
          </reference>
          <reference field="10" count="1" selected="0">
            <x v="18"/>
          </reference>
          <reference field="14" count="1">
            <x v="26"/>
          </reference>
          <reference field="18" count="1" selected="0">
            <x v="30"/>
          </reference>
        </references>
      </pivotArea>
    </format>
    <format dxfId="492">
      <pivotArea dataOnly="0" labelOnly="1" outline="0" fieldPosition="0">
        <references count="4">
          <reference field="9" count="1" selected="0">
            <x v="13"/>
          </reference>
          <reference field="10" count="1" selected="0">
            <x v="22"/>
          </reference>
          <reference field="14" count="1">
            <x v="27"/>
          </reference>
          <reference field="18" count="1" selected="0">
            <x v="6"/>
          </reference>
        </references>
      </pivotArea>
    </format>
    <format dxfId="491">
      <pivotArea dataOnly="0" labelOnly="1" outline="0" fieldPosition="0">
        <references count="4">
          <reference field="9" count="1" selected="0">
            <x v="14"/>
          </reference>
          <reference field="10" count="1" selected="0">
            <x v="26"/>
          </reference>
          <reference field="14" count="1">
            <x v="19"/>
          </reference>
          <reference field="18" count="1" selected="0">
            <x v="16"/>
          </reference>
        </references>
      </pivotArea>
    </format>
    <format dxfId="490">
      <pivotArea dataOnly="0" labelOnly="1" outline="0" fieldPosition="0">
        <references count="4">
          <reference field="9" count="1" selected="0">
            <x v="14"/>
          </reference>
          <reference field="10" count="1" selected="0">
            <x v="26"/>
          </reference>
          <reference field="14" count="1">
            <x v="26"/>
          </reference>
          <reference field="18" count="1" selected="0">
            <x v="30"/>
          </reference>
        </references>
      </pivotArea>
    </format>
    <format dxfId="489">
      <pivotArea dataOnly="0" labelOnly="1" outline="0" fieldPosition="0">
        <references count="4">
          <reference field="9" count="1" selected="0">
            <x v="15"/>
          </reference>
          <reference field="10" count="1" selected="0">
            <x v="30"/>
          </reference>
          <reference field="14" count="1">
            <x v="1"/>
          </reference>
          <reference field="18" count="1" selected="0">
            <x v="1"/>
          </reference>
        </references>
      </pivotArea>
    </format>
    <format dxfId="488">
      <pivotArea dataOnly="0" labelOnly="1" outline="0" fieldPosition="0">
        <references count="4">
          <reference field="9" count="1" selected="0">
            <x v="15"/>
          </reference>
          <reference field="10" count="1" selected="0">
            <x v="30"/>
          </reference>
          <reference field="14" count="1">
            <x v="11"/>
          </reference>
          <reference field="18" count="1" selected="0">
            <x v="3"/>
          </reference>
        </references>
      </pivotArea>
    </format>
    <format dxfId="487">
      <pivotArea dataOnly="0" labelOnly="1" outline="0" fieldPosition="0">
        <references count="4">
          <reference field="9" count="1" selected="0">
            <x v="15"/>
          </reference>
          <reference field="10" count="1" selected="0">
            <x v="30"/>
          </reference>
          <reference field="14" count="1">
            <x v="28"/>
          </reference>
          <reference field="18" count="1" selected="0">
            <x v="5"/>
          </reference>
        </references>
      </pivotArea>
    </format>
    <format dxfId="486">
      <pivotArea dataOnly="0" labelOnly="1" outline="0" fieldPosition="0">
        <references count="4">
          <reference field="9" count="1" selected="0">
            <x v="15"/>
          </reference>
          <reference field="10" count="1" selected="0">
            <x v="30"/>
          </reference>
          <reference field="14" count="1">
            <x v="10"/>
          </reference>
          <reference field="18" count="1" selected="0">
            <x v="7"/>
          </reference>
        </references>
      </pivotArea>
    </format>
    <format dxfId="485">
      <pivotArea dataOnly="0" labelOnly="1" outline="0" fieldPosition="0">
        <references count="4">
          <reference field="9" count="1" selected="0">
            <x v="15"/>
          </reference>
          <reference field="10" count="1" selected="0">
            <x v="30"/>
          </reference>
          <reference field="14" count="1">
            <x v="16"/>
          </reference>
          <reference field="18" count="1" selected="0">
            <x v="12"/>
          </reference>
        </references>
      </pivotArea>
    </format>
    <format dxfId="484">
      <pivotArea dataOnly="0" labelOnly="1" outline="0" fieldPosition="0">
        <references count="4">
          <reference field="9" count="1" selected="0">
            <x v="15"/>
          </reference>
          <reference field="10" count="1" selected="0">
            <x v="30"/>
          </reference>
          <reference field="14" count="1">
            <x v="25"/>
          </reference>
          <reference field="18" count="1" selected="0">
            <x v="14"/>
          </reference>
        </references>
      </pivotArea>
    </format>
    <format dxfId="483">
      <pivotArea dataOnly="0" labelOnly="1" outline="0" fieldPosition="0">
        <references count="4">
          <reference field="9" count="1" selected="0">
            <x v="15"/>
          </reference>
          <reference field="10" count="1" selected="0">
            <x v="30"/>
          </reference>
          <reference field="14" count="1">
            <x v="15"/>
          </reference>
          <reference field="18" count="1" selected="0">
            <x v="15"/>
          </reference>
        </references>
      </pivotArea>
    </format>
    <format dxfId="482">
      <pivotArea dataOnly="0" labelOnly="1" outline="0" fieldPosition="0">
        <references count="4">
          <reference field="9" count="1" selected="0">
            <x v="15"/>
          </reference>
          <reference field="10" count="1" selected="0">
            <x v="30"/>
          </reference>
          <reference field="14" count="1">
            <x v="19"/>
          </reference>
          <reference field="18" count="1" selected="0">
            <x v="16"/>
          </reference>
        </references>
      </pivotArea>
    </format>
    <format dxfId="481">
      <pivotArea dataOnly="0" labelOnly="1" outline="0" fieldPosition="0">
        <references count="4">
          <reference field="9" count="1" selected="0">
            <x v="15"/>
          </reference>
          <reference field="10" count="1" selected="0">
            <x v="30"/>
          </reference>
          <reference field="14" count="1">
            <x v="7"/>
          </reference>
          <reference field="18" count="1" selected="0">
            <x v="22"/>
          </reference>
        </references>
      </pivotArea>
    </format>
    <format dxfId="480">
      <pivotArea dataOnly="0" labelOnly="1" outline="0" fieldPosition="0">
        <references count="4">
          <reference field="9" count="1" selected="0">
            <x v="15"/>
          </reference>
          <reference field="10" count="1" selected="0">
            <x v="30"/>
          </reference>
          <reference field="14" count="1">
            <x v="5"/>
          </reference>
          <reference field="18" count="1" selected="0">
            <x v="28"/>
          </reference>
        </references>
      </pivotArea>
    </format>
    <format dxfId="479">
      <pivotArea dataOnly="0" labelOnly="1" outline="0" fieldPosition="0">
        <references count="4">
          <reference field="9" count="1" selected="0">
            <x v="15"/>
          </reference>
          <reference field="10" count="1" selected="0">
            <x v="30"/>
          </reference>
          <reference field="14" count="1">
            <x v="29"/>
          </reference>
          <reference field="18" count="1" selected="0">
            <x v="29"/>
          </reference>
        </references>
      </pivotArea>
    </format>
    <format dxfId="478">
      <pivotArea dataOnly="0" labelOnly="1" outline="0" fieldPosition="0">
        <references count="4">
          <reference field="9" count="1" selected="0">
            <x v="16"/>
          </reference>
          <reference field="10" count="1" selected="0">
            <x v="34"/>
          </reference>
          <reference field="14" count="1">
            <x v="7"/>
          </reference>
          <reference field="18" count="1" selected="0">
            <x v="22"/>
          </reference>
        </references>
      </pivotArea>
    </format>
    <format dxfId="477">
      <pivotArea dataOnly="0" labelOnly="1" outline="0" fieldPosition="0">
        <references count="4">
          <reference field="9" count="1" selected="0">
            <x v="17"/>
          </reference>
          <reference field="10" count="1" selected="0">
            <x v="38"/>
          </reference>
          <reference field="14" count="1">
            <x v="17"/>
          </reference>
          <reference field="18" count="1" selected="0">
            <x v="11"/>
          </reference>
        </references>
      </pivotArea>
    </format>
    <format dxfId="476">
      <pivotArea dataOnly="0" labelOnly="1" outline="0" fieldPosition="0">
        <references count="4">
          <reference field="9" count="1" selected="0">
            <x v="17"/>
          </reference>
          <reference field="10" count="1" selected="0">
            <x v="38"/>
          </reference>
          <reference field="14" count="1">
            <x v="18"/>
          </reference>
          <reference field="18" count="1" selected="0">
            <x v="13"/>
          </reference>
        </references>
      </pivotArea>
    </format>
    <format dxfId="475">
      <pivotArea dataOnly="0" labelOnly="1" outline="0" fieldPosition="0">
        <references count="4">
          <reference field="9" count="1" selected="0">
            <x v="17"/>
          </reference>
          <reference field="10" count="1" selected="0">
            <x v="38"/>
          </reference>
          <reference field="14" count="1">
            <x v="29"/>
          </reference>
          <reference field="18" count="1" selected="0">
            <x v="29"/>
          </reference>
        </references>
      </pivotArea>
    </format>
    <format dxfId="474">
      <pivotArea dataOnly="0" labelOnly="1" outline="0" fieldPosition="0">
        <references count="4">
          <reference field="9" count="1" selected="0">
            <x v="18"/>
          </reference>
          <reference field="10" count="1" selected="0">
            <x v="42"/>
          </reference>
          <reference field="14" count="1">
            <x v="1"/>
          </reference>
          <reference field="18" count="1" selected="0">
            <x v="1"/>
          </reference>
        </references>
      </pivotArea>
    </format>
    <format dxfId="473">
      <pivotArea dataOnly="0" labelOnly="1" outline="0" fieldPosition="0">
        <references count="4">
          <reference field="9" count="1" selected="0">
            <x v="18"/>
          </reference>
          <reference field="10" count="1" selected="0">
            <x v="42"/>
          </reference>
          <reference field="14" count="1">
            <x v="11"/>
          </reference>
          <reference field="18" count="1" selected="0">
            <x v="3"/>
          </reference>
        </references>
      </pivotArea>
    </format>
    <format dxfId="472">
      <pivotArea dataOnly="0" labelOnly="1" outline="0" fieldPosition="0">
        <references count="4">
          <reference field="9" count="1" selected="0">
            <x v="18"/>
          </reference>
          <reference field="10" count="1" selected="0">
            <x v="42"/>
          </reference>
          <reference field="14" count="1">
            <x v="28"/>
          </reference>
          <reference field="18" count="1" selected="0">
            <x v="5"/>
          </reference>
        </references>
      </pivotArea>
    </format>
    <format dxfId="471">
      <pivotArea dataOnly="0" labelOnly="1" outline="0" fieldPosition="0">
        <references count="4">
          <reference field="9" count="1" selected="0">
            <x v="18"/>
          </reference>
          <reference field="10" count="1" selected="0">
            <x v="42"/>
          </reference>
          <reference field="14" count="1">
            <x v="10"/>
          </reference>
          <reference field="18" count="1" selected="0">
            <x v="7"/>
          </reference>
        </references>
      </pivotArea>
    </format>
    <format dxfId="470">
      <pivotArea dataOnly="0" labelOnly="1" outline="0" fieldPosition="0">
        <references count="4">
          <reference field="9" count="1" selected="0">
            <x v="18"/>
          </reference>
          <reference field="10" count="1" selected="0">
            <x v="42"/>
          </reference>
          <reference field="14" count="1">
            <x v="9"/>
          </reference>
          <reference field="18" count="1" selected="0">
            <x v="8"/>
          </reference>
        </references>
      </pivotArea>
    </format>
    <format dxfId="469">
      <pivotArea dataOnly="0" labelOnly="1" outline="0" fieldPosition="0">
        <references count="4">
          <reference field="9" count="1" selected="0">
            <x v="18"/>
          </reference>
          <reference field="10" count="1" selected="0">
            <x v="42"/>
          </reference>
          <reference field="14" count="1">
            <x v="8"/>
          </reference>
          <reference field="18" count="1" selected="0">
            <x v="9"/>
          </reference>
        </references>
      </pivotArea>
    </format>
    <format dxfId="468">
      <pivotArea dataOnly="0" labelOnly="1" outline="0" fieldPosition="0">
        <references count="4">
          <reference field="9" count="1" selected="0">
            <x v="18"/>
          </reference>
          <reference field="10" count="1" selected="0">
            <x v="42"/>
          </reference>
          <reference field="14" count="1">
            <x v="16"/>
          </reference>
          <reference field="18" count="1" selected="0">
            <x v="12"/>
          </reference>
        </references>
      </pivotArea>
    </format>
    <format dxfId="467">
      <pivotArea dataOnly="0" labelOnly="1" outline="0" fieldPosition="0">
        <references count="4">
          <reference field="9" count="1" selected="0">
            <x v="18"/>
          </reference>
          <reference field="10" count="1" selected="0">
            <x v="42"/>
          </reference>
          <reference field="14" count="1">
            <x v="25"/>
          </reference>
          <reference field="18" count="1" selected="0">
            <x v="14"/>
          </reference>
        </references>
      </pivotArea>
    </format>
    <format dxfId="466">
      <pivotArea dataOnly="0" labelOnly="1" outline="0" fieldPosition="0">
        <references count="4">
          <reference field="9" count="1" selected="0">
            <x v="18"/>
          </reference>
          <reference field="10" count="1" selected="0">
            <x v="42"/>
          </reference>
          <reference field="14" count="1">
            <x v="15"/>
          </reference>
          <reference field="18" count="1" selected="0">
            <x v="15"/>
          </reference>
        </references>
      </pivotArea>
    </format>
    <format dxfId="465">
      <pivotArea dataOnly="0" labelOnly="1" outline="0" fieldPosition="0">
        <references count="4">
          <reference field="9" count="1" selected="0">
            <x v="18"/>
          </reference>
          <reference field="10" count="1" selected="0">
            <x v="42"/>
          </reference>
          <reference field="14" count="1">
            <x v="5"/>
          </reference>
          <reference field="18" count="1" selected="0">
            <x v="28"/>
          </reference>
        </references>
      </pivotArea>
    </format>
    <format dxfId="464">
      <pivotArea dataOnly="0" labelOnly="1" outline="0" fieldPosition="0">
        <references count="4">
          <reference field="9" count="1" selected="0">
            <x v="19"/>
          </reference>
          <reference field="10" count="1" selected="0">
            <x v="46"/>
          </reference>
          <reference field="14" count="1">
            <x v="27"/>
          </reference>
          <reference field="18" count="1" selected="0">
            <x v="6"/>
          </reference>
        </references>
      </pivotArea>
    </format>
    <format dxfId="463">
      <pivotArea dataOnly="0" labelOnly="1" outline="0" fieldPosition="0">
        <references count="4">
          <reference field="9" count="1" selected="0">
            <x v="19"/>
          </reference>
          <reference field="10" count="1" selected="0">
            <x v="46"/>
          </reference>
          <reference field="14" count="1">
            <x v="7"/>
          </reference>
          <reference field="18" count="1" selected="0">
            <x v="22"/>
          </reference>
        </references>
      </pivotArea>
    </format>
    <format dxfId="462">
      <pivotArea dataOnly="0" labelOnly="1" outline="0" fieldPosition="0">
        <references count="4">
          <reference field="9" count="1" selected="0">
            <x v="20"/>
          </reference>
          <reference field="10" count="1" selected="0">
            <x v="50"/>
          </reference>
          <reference field="14" count="1">
            <x v="27"/>
          </reference>
          <reference field="18" count="1" selected="0">
            <x v="6"/>
          </reference>
        </references>
      </pivotArea>
    </format>
    <format dxfId="461">
      <pivotArea dataOnly="0" labelOnly="1" outline="0" fieldPosition="0">
        <references count="4">
          <reference field="9" count="1" selected="0">
            <x v="21"/>
          </reference>
          <reference field="10" count="1" selected="0">
            <x v="11"/>
          </reference>
          <reference field="14" count="1">
            <x v="4"/>
          </reference>
          <reference field="18" count="1" selected="0">
            <x v="0"/>
          </reference>
        </references>
      </pivotArea>
    </format>
    <format dxfId="460">
      <pivotArea dataOnly="0" labelOnly="1" outline="0" fieldPosition="0">
        <references count="4">
          <reference field="9" count="1" selected="0">
            <x v="21"/>
          </reference>
          <reference field="10" count="1" selected="0">
            <x v="11"/>
          </reference>
          <reference field="14" count="1">
            <x v="1"/>
          </reference>
          <reference field="18" count="1" selected="0">
            <x v="1"/>
          </reference>
        </references>
      </pivotArea>
    </format>
    <format dxfId="459">
      <pivotArea dataOnly="0" labelOnly="1" outline="0" fieldPosition="0">
        <references count="4">
          <reference field="9" count="1" selected="0">
            <x v="21"/>
          </reference>
          <reference field="10" count="1" selected="0">
            <x v="11"/>
          </reference>
          <reference field="14" count="1">
            <x v="11"/>
          </reference>
          <reference field="18" count="1" selected="0">
            <x v="3"/>
          </reference>
        </references>
      </pivotArea>
    </format>
    <format dxfId="458">
      <pivotArea dataOnly="0" labelOnly="1" outline="0" fieldPosition="0">
        <references count="4">
          <reference field="9" count="1" selected="0">
            <x v="21"/>
          </reference>
          <reference field="10" count="1" selected="0">
            <x v="11"/>
          </reference>
          <reference field="14" count="1">
            <x v="10"/>
          </reference>
          <reference field="18" count="1" selected="0">
            <x v="7"/>
          </reference>
        </references>
      </pivotArea>
    </format>
    <format dxfId="457">
      <pivotArea dataOnly="0" labelOnly="1" outline="0" fieldPosition="0">
        <references count="4">
          <reference field="9" count="1" selected="0">
            <x v="21"/>
          </reference>
          <reference field="10" count="1" selected="0">
            <x v="11"/>
          </reference>
          <reference field="14" count="1">
            <x v="8"/>
          </reference>
          <reference field="18" count="1" selected="0">
            <x v="9"/>
          </reference>
        </references>
      </pivotArea>
    </format>
    <format dxfId="456">
      <pivotArea dataOnly="0" labelOnly="1" outline="0" fieldPosition="0">
        <references count="4">
          <reference field="9" count="1" selected="0">
            <x v="21"/>
          </reference>
          <reference field="10" count="1" selected="0">
            <x v="11"/>
          </reference>
          <reference field="14" count="1">
            <x v="16"/>
          </reference>
          <reference field="18" count="1" selected="0">
            <x v="12"/>
          </reference>
        </references>
      </pivotArea>
    </format>
    <format dxfId="455">
      <pivotArea dataOnly="0" labelOnly="1" outline="0" fieldPosition="0">
        <references count="4">
          <reference field="9" count="1" selected="0">
            <x v="21"/>
          </reference>
          <reference field="10" count="1" selected="0">
            <x v="11"/>
          </reference>
          <reference field="14" count="1">
            <x v="25"/>
          </reference>
          <reference field="18" count="1" selected="0">
            <x v="14"/>
          </reference>
        </references>
      </pivotArea>
    </format>
    <format dxfId="454">
      <pivotArea dataOnly="0" labelOnly="1" outline="0" fieldPosition="0">
        <references count="4">
          <reference field="9" count="1" selected="0">
            <x v="21"/>
          </reference>
          <reference field="10" count="1" selected="0">
            <x v="11"/>
          </reference>
          <reference field="14" count="1">
            <x v="15"/>
          </reference>
          <reference field="18" count="1" selected="0">
            <x v="15"/>
          </reference>
        </references>
      </pivotArea>
    </format>
    <format dxfId="453">
      <pivotArea dataOnly="0" labelOnly="1" outline="0" fieldPosition="0">
        <references count="4">
          <reference field="9" count="1" selected="0">
            <x v="21"/>
          </reference>
          <reference field="10" count="1" selected="0">
            <x v="11"/>
          </reference>
          <reference field="14" count="1">
            <x v="5"/>
          </reference>
          <reference field="18" count="1" selected="0">
            <x v="28"/>
          </reference>
        </references>
      </pivotArea>
    </format>
    <format dxfId="452">
      <pivotArea dataOnly="0" labelOnly="1" outline="0" fieldPosition="0">
        <references count="4">
          <reference field="9" count="1" selected="0">
            <x v="21"/>
          </reference>
          <reference field="10" count="1" selected="0">
            <x v="11"/>
          </reference>
          <reference field="14" count="1">
            <x v="29"/>
          </reference>
          <reference field="18" count="1" selected="0">
            <x v="29"/>
          </reference>
        </references>
      </pivotArea>
    </format>
    <format dxfId="451">
      <pivotArea dataOnly="0" labelOnly="1" outline="0" fieldPosition="0">
        <references count="4">
          <reference field="9" count="1" selected="0">
            <x v="22"/>
          </reference>
          <reference field="10" count="1" selected="0">
            <x v="15"/>
          </reference>
          <reference field="14" count="1">
            <x v="11"/>
          </reference>
          <reference field="18" count="1" selected="0">
            <x v="3"/>
          </reference>
        </references>
      </pivotArea>
    </format>
    <format dxfId="450">
      <pivotArea dataOnly="0" labelOnly="1" outline="0" fieldPosition="0">
        <references count="4">
          <reference field="9" count="1" selected="0">
            <x v="23"/>
          </reference>
          <reference field="10" count="1" selected="0">
            <x v="19"/>
          </reference>
          <reference field="14" count="1">
            <x v="4"/>
          </reference>
          <reference field="18" count="1" selected="0">
            <x v="0"/>
          </reference>
        </references>
      </pivotArea>
    </format>
    <format dxfId="449">
      <pivotArea dataOnly="0" labelOnly="1" outline="0" fieldPosition="0">
        <references count="4">
          <reference field="9" count="1" selected="0">
            <x v="23"/>
          </reference>
          <reference field="10" count="1" selected="0">
            <x v="19"/>
          </reference>
          <reference field="14" count="1">
            <x v="10"/>
          </reference>
          <reference field="18" count="1" selected="0">
            <x v="7"/>
          </reference>
        </references>
      </pivotArea>
    </format>
    <format dxfId="448">
      <pivotArea dataOnly="0" labelOnly="1" outline="0" fieldPosition="0">
        <references count="4">
          <reference field="9" count="1" selected="0">
            <x v="23"/>
          </reference>
          <reference field="10" count="1" selected="0">
            <x v="19"/>
          </reference>
          <reference field="14" count="1">
            <x v="9"/>
          </reference>
          <reference field="18" count="1" selected="0">
            <x v="8"/>
          </reference>
        </references>
      </pivotArea>
    </format>
    <format dxfId="447">
      <pivotArea dataOnly="0" labelOnly="1" outline="0" fieldPosition="0">
        <references count="4">
          <reference field="9" count="1" selected="0">
            <x v="23"/>
          </reference>
          <reference field="10" count="1" selected="0">
            <x v="19"/>
          </reference>
          <reference field="14" count="1">
            <x v="8"/>
          </reference>
          <reference field="18" count="1" selected="0">
            <x v="9"/>
          </reference>
        </references>
      </pivotArea>
    </format>
    <format dxfId="446">
      <pivotArea dataOnly="0" labelOnly="1" outline="0" fieldPosition="0">
        <references count="4">
          <reference field="9" count="1" selected="0">
            <x v="23"/>
          </reference>
          <reference field="10" count="1" selected="0">
            <x v="19"/>
          </reference>
          <reference field="14" count="1">
            <x v="17"/>
          </reference>
          <reference field="18" count="1" selected="0">
            <x v="11"/>
          </reference>
        </references>
      </pivotArea>
    </format>
    <format dxfId="445">
      <pivotArea dataOnly="0" labelOnly="1" outline="0" fieldPosition="0">
        <references count="4">
          <reference field="9" count="1" selected="0">
            <x v="23"/>
          </reference>
          <reference field="10" count="1" selected="0">
            <x v="19"/>
          </reference>
          <reference field="14" count="1">
            <x v="16"/>
          </reference>
          <reference field="18" count="1" selected="0">
            <x v="12"/>
          </reference>
        </references>
      </pivotArea>
    </format>
    <format dxfId="444">
      <pivotArea dataOnly="0" labelOnly="1" outline="0" fieldPosition="0">
        <references count="4">
          <reference field="9" count="1" selected="0">
            <x v="23"/>
          </reference>
          <reference field="10" count="1" selected="0">
            <x v="19"/>
          </reference>
          <reference field="14" count="1">
            <x v="18"/>
          </reference>
          <reference field="18" count="1" selected="0">
            <x v="13"/>
          </reference>
        </references>
      </pivotArea>
    </format>
    <format dxfId="443">
      <pivotArea dataOnly="0" labelOnly="1" outline="0" fieldPosition="0">
        <references count="4">
          <reference field="9" count="1" selected="0">
            <x v="23"/>
          </reference>
          <reference field="10" count="1" selected="0">
            <x v="19"/>
          </reference>
          <reference field="14" count="1">
            <x v="25"/>
          </reference>
          <reference field="18" count="1" selected="0">
            <x v="14"/>
          </reference>
        </references>
      </pivotArea>
    </format>
    <format dxfId="442">
      <pivotArea dataOnly="0" labelOnly="1" outline="0" fieldPosition="0">
        <references count="4">
          <reference field="9" count="1" selected="0">
            <x v="23"/>
          </reference>
          <reference field="10" count="1" selected="0">
            <x v="19"/>
          </reference>
          <reference field="14" count="1">
            <x v="15"/>
          </reference>
          <reference field="18" count="1" selected="0">
            <x v="15"/>
          </reference>
        </references>
      </pivotArea>
    </format>
    <format dxfId="441">
      <pivotArea dataOnly="0" labelOnly="1" outline="0" fieldPosition="0">
        <references count="4">
          <reference field="9" count="1" selected="0">
            <x v="23"/>
          </reference>
          <reference field="10" count="1" selected="0">
            <x v="19"/>
          </reference>
          <reference field="14" count="1">
            <x v="19"/>
          </reference>
          <reference field="18" count="1" selected="0">
            <x v="16"/>
          </reference>
        </references>
      </pivotArea>
    </format>
    <format dxfId="440">
      <pivotArea dataOnly="0" labelOnly="1" outline="0" fieldPosition="0">
        <references count="4">
          <reference field="9" count="1" selected="0">
            <x v="23"/>
          </reference>
          <reference field="10" count="1" selected="0">
            <x v="19"/>
          </reference>
          <reference field="14" count="1">
            <x v="14"/>
          </reference>
          <reference field="18" count="1" selected="0">
            <x v="18"/>
          </reference>
        </references>
      </pivotArea>
    </format>
    <format dxfId="439">
      <pivotArea dataOnly="0" labelOnly="1" outline="0" fieldPosition="0">
        <references count="4">
          <reference field="9" count="1" selected="0">
            <x v="23"/>
          </reference>
          <reference field="10" count="1" selected="0">
            <x v="19"/>
          </reference>
          <reference field="14" count="1">
            <x v="7"/>
          </reference>
          <reference field="18" count="1" selected="0">
            <x v="22"/>
          </reference>
        </references>
      </pivotArea>
    </format>
    <format dxfId="438">
      <pivotArea dataOnly="0" labelOnly="1" outline="0" fieldPosition="0">
        <references count="4">
          <reference field="9" count="1" selected="0">
            <x v="23"/>
          </reference>
          <reference field="10" count="1" selected="0">
            <x v="19"/>
          </reference>
          <reference field="14" count="1">
            <x v="22"/>
          </reference>
          <reference field="18" count="1" selected="0">
            <x v="25"/>
          </reference>
        </references>
      </pivotArea>
    </format>
    <format dxfId="437">
      <pivotArea dataOnly="0" labelOnly="1" outline="0" fieldPosition="0">
        <references count="4">
          <reference field="9" count="1" selected="0">
            <x v="23"/>
          </reference>
          <reference field="10" count="1" selected="0">
            <x v="19"/>
          </reference>
          <reference field="14" count="1">
            <x v="21"/>
          </reference>
          <reference field="18" count="1" selected="0">
            <x v="27"/>
          </reference>
        </references>
      </pivotArea>
    </format>
    <format dxfId="436">
      <pivotArea dataOnly="0" labelOnly="1" outline="0" fieldPosition="0">
        <references count="4">
          <reference field="9" count="1" selected="0">
            <x v="23"/>
          </reference>
          <reference field="10" count="1" selected="0">
            <x v="19"/>
          </reference>
          <reference field="14" count="1">
            <x v="5"/>
          </reference>
          <reference field="18" count="1" selected="0">
            <x v="28"/>
          </reference>
        </references>
      </pivotArea>
    </format>
    <format dxfId="435">
      <pivotArea dataOnly="0" labelOnly="1" outline="0" fieldPosition="0">
        <references count="4">
          <reference field="9" count="1" selected="0">
            <x v="23"/>
          </reference>
          <reference field="10" count="1" selected="0">
            <x v="19"/>
          </reference>
          <reference field="14" count="1">
            <x v="29"/>
          </reference>
          <reference field="18" count="1" selected="0">
            <x v="29"/>
          </reference>
        </references>
      </pivotArea>
    </format>
    <format dxfId="434">
      <pivotArea dataOnly="0" labelOnly="1" outline="0" fieldPosition="0">
        <references count="4">
          <reference field="9" count="1" selected="0">
            <x v="23"/>
          </reference>
          <reference field="10" count="1" selected="0">
            <x v="19"/>
          </reference>
          <reference field="14" count="1">
            <x v="26"/>
          </reference>
          <reference field="18" count="1" selected="0">
            <x v="30"/>
          </reference>
        </references>
      </pivotArea>
    </format>
    <format dxfId="433">
      <pivotArea dataOnly="0" labelOnly="1" outline="0" fieldPosition="0">
        <references count="4">
          <reference field="9" count="1" selected="0">
            <x v="24"/>
          </reference>
          <reference field="10" count="1" selected="0">
            <x v="23"/>
          </reference>
          <reference field="14" count="1">
            <x v="27"/>
          </reference>
          <reference field="18" count="1" selected="0">
            <x v="6"/>
          </reference>
        </references>
      </pivotArea>
    </format>
    <format dxfId="432">
      <pivotArea dataOnly="0" labelOnly="1" outline="0" fieldPosition="0">
        <references count="4">
          <reference field="9" count="1" selected="0">
            <x v="25"/>
          </reference>
          <reference field="10" count="1" selected="0">
            <x v="27"/>
          </reference>
          <reference field="14" count="1">
            <x v="11"/>
          </reference>
          <reference field="18" count="1" selected="0">
            <x v="3"/>
          </reference>
        </references>
      </pivotArea>
    </format>
    <format dxfId="431">
      <pivotArea dataOnly="0" labelOnly="1" outline="0" fieldPosition="0">
        <references count="4">
          <reference field="9" count="1" selected="0">
            <x v="25"/>
          </reference>
          <reference field="10" count="1" selected="0">
            <x v="27"/>
          </reference>
          <reference field="14" count="1">
            <x v="28"/>
          </reference>
          <reference field="18" count="1" selected="0">
            <x v="5"/>
          </reference>
        </references>
      </pivotArea>
    </format>
    <format dxfId="430">
      <pivotArea dataOnly="0" labelOnly="1" outline="0" fieldPosition="0">
        <references count="4">
          <reference field="9" count="1" selected="0">
            <x v="25"/>
          </reference>
          <reference field="10" count="1" selected="0">
            <x v="27"/>
          </reference>
          <reference field="14" count="1">
            <x v="19"/>
          </reference>
          <reference field="18" count="1" selected="0">
            <x v="16"/>
          </reference>
        </references>
      </pivotArea>
    </format>
    <format dxfId="429">
      <pivotArea dataOnly="0" labelOnly="1" outline="0" fieldPosition="0">
        <references count="4">
          <reference field="9" count="1" selected="0">
            <x v="25"/>
          </reference>
          <reference field="10" count="1" selected="0">
            <x v="27"/>
          </reference>
          <reference field="14" count="1">
            <x v="5"/>
          </reference>
          <reference field="18" count="1" selected="0">
            <x v="28"/>
          </reference>
        </references>
      </pivotArea>
    </format>
    <format dxfId="428">
      <pivotArea dataOnly="0" labelOnly="1" outline="0" fieldPosition="0">
        <references count="4">
          <reference field="9" count="1" selected="0">
            <x v="25"/>
          </reference>
          <reference field="10" count="1" selected="0">
            <x v="27"/>
          </reference>
          <reference field="14" count="1">
            <x v="26"/>
          </reference>
          <reference field="18" count="1" selected="0">
            <x v="30"/>
          </reference>
        </references>
      </pivotArea>
    </format>
    <format dxfId="427">
      <pivotArea dataOnly="0" labelOnly="1" outline="0" fieldPosition="0">
        <references count="4">
          <reference field="9" count="1" selected="0">
            <x v="26"/>
          </reference>
          <reference field="10" count="1" selected="0">
            <x v="31"/>
          </reference>
          <reference field="14" count="1">
            <x v="4"/>
          </reference>
          <reference field="18" count="1" selected="0">
            <x v="0"/>
          </reference>
        </references>
      </pivotArea>
    </format>
    <format dxfId="426">
      <pivotArea dataOnly="0" labelOnly="1" outline="0" fieldPosition="0">
        <references count="4">
          <reference field="9" count="1" selected="0">
            <x v="26"/>
          </reference>
          <reference field="10" count="1" selected="0">
            <x v="31"/>
          </reference>
          <reference field="14" count="1">
            <x v="11"/>
          </reference>
          <reference field="18" count="1" selected="0">
            <x v="3"/>
          </reference>
        </references>
      </pivotArea>
    </format>
    <format dxfId="425">
      <pivotArea dataOnly="0" labelOnly="1" outline="0" fieldPosition="0">
        <references count="4">
          <reference field="9" count="1" selected="0">
            <x v="26"/>
          </reference>
          <reference field="10" count="1" selected="0">
            <x v="31"/>
          </reference>
          <reference field="14" count="1">
            <x v="28"/>
          </reference>
          <reference field="18" count="1" selected="0">
            <x v="5"/>
          </reference>
        </references>
      </pivotArea>
    </format>
    <format dxfId="424">
      <pivotArea dataOnly="0" labelOnly="1" outline="0" fieldPosition="0">
        <references count="4">
          <reference field="9" count="1" selected="0">
            <x v="26"/>
          </reference>
          <reference field="10" count="1" selected="0">
            <x v="31"/>
          </reference>
          <reference field="14" count="1">
            <x v="10"/>
          </reference>
          <reference field="18" count="1" selected="0">
            <x v="7"/>
          </reference>
        </references>
      </pivotArea>
    </format>
    <format dxfId="423">
      <pivotArea dataOnly="0" labelOnly="1" outline="0" fieldPosition="0">
        <references count="4">
          <reference field="9" count="1" selected="0">
            <x v="26"/>
          </reference>
          <reference field="10" count="1" selected="0">
            <x v="31"/>
          </reference>
          <reference field="14" count="1">
            <x v="8"/>
          </reference>
          <reference field="18" count="1" selected="0">
            <x v="9"/>
          </reference>
        </references>
      </pivotArea>
    </format>
    <format dxfId="422">
      <pivotArea dataOnly="0" labelOnly="1" outline="0" fieldPosition="0">
        <references count="4">
          <reference field="9" count="1" selected="0">
            <x v="26"/>
          </reference>
          <reference field="10" count="1" selected="0">
            <x v="31"/>
          </reference>
          <reference field="14" count="1">
            <x v="16"/>
          </reference>
          <reference field="18" count="1" selected="0">
            <x v="12"/>
          </reference>
        </references>
      </pivotArea>
    </format>
    <format dxfId="421">
      <pivotArea dataOnly="0" labelOnly="1" outline="0" fieldPosition="0">
        <references count="4">
          <reference field="9" count="1" selected="0">
            <x v="26"/>
          </reference>
          <reference field="10" count="1" selected="0">
            <x v="31"/>
          </reference>
          <reference field="14" count="1">
            <x v="25"/>
          </reference>
          <reference field="18" count="1" selected="0">
            <x v="14"/>
          </reference>
        </references>
      </pivotArea>
    </format>
    <format dxfId="420">
      <pivotArea dataOnly="0" labelOnly="1" outline="0" fieldPosition="0">
        <references count="4">
          <reference field="9" count="1" selected="0">
            <x v="26"/>
          </reference>
          <reference field="10" count="1" selected="0">
            <x v="31"/>
          </reference>
          <reference field="14" count="1">
            <x v="15"/>
          </reference>
          <reference field="18" count="1" selected="0">
            <x v="15"/>
          </reference>
        </references>
      </pivotArea>
    </format>
    <format dxfId="419">
      <pivotArea dataOnly="0" labelOnly="1" outline="0" fieldPosition="0">
        <references count="4">
          <reference field="9" count="1" selected="0">
            <x v="26"/>
          </reference>
          <reference field="10" count="1" selected="0">
            <x v="31"/>
          </reference>
          <reference field="14" count="1">
            <x v="19"/>
          </reference>
          <reference field="18" count="1" selected="0">
            <x v="16"/>
          </reference>
        </references>
      </pivotArea>
    </format>
    <format dxfId="418">
      <pivotArea dataOnly="0" labelOnly="1" outline="0" fieldPosition="0">
        <references count="4">
          <reference field="9" count="1" selected="0">
            <x v="26"/>
          </reference>
          <reference field="10" count="1" selected="0">
            <x v="31"/>
          </reference>
          <reference field="14" count="1">
            <x v="14"/>
          </reference>
          <reference field="18" count="1" selected="0">
            <x v="18"/>
          </reference>
        </references>
      </pivotArea>
    </format>
    <format dxfId="417">
      <pivotArea dataOnly="0" labelOnly="1" outline="0" fieldPosition="0">
        <references count="4">
          <reference field="9" count="1" selected="0">
            <x v="26"/>
          </reference>
          <reference field="10" count="1" selected="0">
            <x v="31"/>
          </reference>
          <reference field="14" count="1">
            <x v="7"/>
          </reference>
          <reference field="18" count="1" selected="0">
            <x v="22"/>
          </reference>
        </references>
      </pivotArea>
    </format>
    <format dxfId="416">
      <pivotArea dataOnly="0" labelOnly="1" outline="0" fieldPosition="0">
        <references count="4">
          <reference field="9" count="1" selected="0">
            <x v="26"/>
          </reference>
          <reference field="10" count="1" selected="0">
            <x v="31"/>
          </reference>
          <reference field="14" count="1">
            <x v="22"/>
          </reference>
          <reference field="18" count="1" selected="0">
            <x v="25"/>
          </reference>
        </references>
      </pivotArea>
    </format>
    <format dxfId="415">
      <pivotArea dataOnly="0" labelOnly="1" outline="0" fieldPosition="0">
        <references count="4">
          <reference field="9" count="1" selected="0">
            <x v="26"/>
          </reference>
          <reference field="10" count="1" selected="0">
            <x v="31"/>
          </reference>
          <reference field="14" count="1">
            <x v="5"/>
          </reference>
          <reference field="18" count="1" selected="0">
            <x v="28"/>
          </reference>
        </references>
      </pivotArea>
    </format>
    <format dxfId="414">
      <pivotArea dataOnly="0" labelOnly="1" outline="0" fieldPosition="0">
        <references count="4">
          <reference field="9" count="1" selected="0">
            <x v="26"/>
          </reference>
          <reference field="10" count="1" selected="0">
            <x v="31"/>
          </reference>
          <reference field="14" count="1">
            <x v="29"/>
          </reference>
          <reference field="18" count="1" selected="0">
            <x v="29"/>
          </reference>
        </references>
      </pivotArea>
    </format>
    <format dxfId="413">
      <pivotArea dataOnly="0" labelOnly="1" outline="0" fieldPosition="0">
        <references count="4">
          <reference field="9" count="1" selected="0">
            <x v="27"/>
          </reference>
          <reference field="10" count="1" selected="0">
            <x v="35"/>
          </reference>
          <reference field="14" count="1">
            <x v="7"/>
          </reference>
          <reference field="18" count="1" selected="0">
            <x v="22"/>
          </reference>
        </references>
      </pivotArea>
    </format>
    <format dxfId="412">
      <pivotArea dataOnly="0" labelOnly="1" outline="0" fieldPosition="0">
        <references count="4">
          <reference field="9" count="1" selected="0">
            <x v="28"/>
          </reference>
          <reference field="10" count="1" selected="0">
            <x v="39"/>
          </reference>
          <reference field="14" count="1">
            <x v="17"/>
          </reference>
          <reference field="18" count="1" selected="0">
            <x v="11"/>
          </reference>
        </references>
      </pivotArea>
    </format>
    <format dxfId="411">
      <pivotArea dataOnly="0" labelOnly="1" outline="0" fieldPosition="0">
        <references count="4">
          <reference field="9" count="1" selected="0">
            <x v="28"/>
          </reference>
          <reference field="10" count="1" selected="0">
            <x v="39"/>
          </reference>
          <reference field="14" count="1">
            <x v="16"/>
          </reference>
          <reference field="18" count="1" selected="0">
            <x v="12"/>
          </reference>
        </references>
      </pivotArea>
    </format>
    <format dxfId="410">
      <pivotArea dataOnly="0" labelOnly="1" outline="0" fieldPosition="0">
        <references count="4">
          <reference field="9" count="1" selected="0">
            <x v="28"/>
          </reference>
          <reference field="10" count="1" selected="0">
            <x v="39"/>
          </reference>
          <reference field="14" count="1">
            <x v="18"/>
          </reference>
          <reference field="18" count="1" selected="0">
            <x v="13"/>
          </reference>
        </references>
      </pivotArea>
    </format>
    <format dxfId="409">
      <pivotArea dataOnly="0" labelOnly="1" outline="0" fieldPosition="0">
        <references count="4">
          <reference field="9" count="1" selected="0">
            <x v="28"/>
          </reference>
          <reference field="10" count="1" selected="0">
            <x v="39"/>
          </reference>
          <reference field="14" count="1">
            <x v="15"/>
          </reference>
          <reference field="18" count="1" selected="0">
            <x v="15"/>
          </reference>
        </references>
      </pivotArea>
    </format>
    <format dxfId="408">
      <pivotArea dataOnly="0" labelOnly="1" outline="0" fieldPosition="0">
        <references count="4">
          <reference field="9" count="1" selected="0">
            <x v="28"/>
          </reference>
          <reference field="10" count="1" selected="0">
            <x v="39"/>
          </reference>
          <reference field="14" count="1">
            <x v="21"/>
          </reference>
          <reference field="18" count="1" selected="0">
            <x v="27"/>
          </reference>
        </references>
      </pivotArea>
    </format>
    <format dxfId="407">
      <pivotArea dataOnly="0" labelOnly="1" outline="0" fieldPosition="0">
        <references count="4">
          <reference field="9" count="1" selected="0">
            <x v="29"/>
          </reference>
          <reference field="10" count="1" selected="0">
            <x v="43"/>
          </reference>
          <reference field="14" count="1">
            <x v="1"/>
          </reference>
          <reference field="18" count="1" selected="0">
            <x v="1"/>
          </reference>
        </references>
      </pivotArea>
    </format>
    <format dxfId="406">
      <pivotArea dataOnly="0" labelOnly="1" outline="0" fieldPosition="0">
        <references count="4">
          <reference field="9" count="1" selected="0">
            <x v="29"/>
          </reference>
          <reference field="10" count="1" selected="0">
            <x v="43"/>
          </reference>
          <reference field="14" count="1">
            <x v="11"/>
          </reference>
          <reference field="18" count="1" selected="0">
            <x v="3"/>
          </reference>
        </references>
      </pivotArea>
    </format>
    <format dxfId="405">
      <pivotArea dataOnly="0" labelOnly="1" outline="0" fieldPosition="0">
        <references count="4">
          <reference field="9" count="1" selected="0">
            <x v="29"/>
          </reference>
          <reference field="10" count="1" selected="0">
            <x v="43"/>
          </reference>
          <reference field="14" count="1">
            <x v="28"/>
          </reference>
          <reference field="18" count="1" selected="0">
            <x v="5"/>
          </reference>
        </references>
      </pivotArea>
    </format>
    <format dxfId="404">
      <pivotArea dataOnly="0" labelOnly="1" outline="0" fieldPosition="0">
        <references count="4">
          <reference field="9" count="1" selected="0">
            <x v="29"/>
          </reference>
          <reference field="10" count="1" selected="0">
            <x v="43"/>
          </reference>
          <reference field="14" count="1">
            <x v="10"/>
          </reference>
          <reference field="18" count="1" selected="0">
            <x v="7"/>
          </reference>
        </references>
      </pivotArea>
    </format>
    <format dxfId="403">
      <pivotArea dataOnly="0" labelOnly="1" outline="0" fieldPosition="0">
        <references count="4">
          <reference field="9" count="1" selected="0">
            <x v="29"/>
          </reference>
          <reference field="10" count="1" selected="0">
            <x v="43"/>
          </reference>
          <reference field="14" count="1">
            <x v="15"/>
          </reference>
          <reference field="18" count="1" selected="0">
            <x v="15"/>
          </reference>
        </references>
      </pivotArea>
    </format>
    <format dxfId="402">
      <pivotArea dataOnly="0" labelOnly="1" outline="0" fieldPosition="0">
        <references count="4">
          <reference field="9" count="1" selected="0">
            <x v="29"/>
          </reference>
          <reference field="10" count="1" selected="0">
            <x v="43"/>
          </reference>
          <reference field="14" count="1">
            <x v="22"/>
          </reference>
          <reference field="18" count="1" selected="0">
            <x v="25"/>
          </reference>
        </references>
      </pivotArea>
    </format>
    <format dxfId="401">
      <pivotArea dataOnly="0" labelOnly="1" outline="0" fieldPosition="0">
        <references count="4">
          <reference field="9" count="1" selected="0">
            <x v="29"/>
          </reference>
          <reference field="10" count="1" selected="0">
            <x v="43"/>
          </reference>
          <reference field="14" count="1">
            <x v="5"/>
          </reference>
          <reference field="18" count="1" selected="0">
            <x v="28"/>
          </reference>
        </references>
      </pivotArea>
    </format>
    <format dxfId="400">
      <pivotArea dataOnly="0" labelOnly="1" outline="0" fieldPosition="0">
        <references count="4">
          <reference field="9" count="1" selected="0">
            <x v="29"/>
          </reference>
          <reference field="10" count="1" selected="0">
            <x v="43"/>
          </reference>
          <reference field="14" count="1">
            <x v="29"/>
          </reference>
          <reference field="18" count="1" selected="0">
            <x v="29"/>
          </reference>
        </references>
      </pivotArea>
    </format>
    <format dxfId="399">
      <pivotArea dataOnly="0" labelOnly="1" outline="0" fieldPosition="0">
        <references count="4">
          <reference field="9" count="1" selected="0">
            <x v="30"/>
          </reference>
          <reference field="10" count="1" selected="0">
            <x v="47"/>
          </reference>
          <reference field="14" count="1">
            <x v="27"/>
          </reference>
          <reference field="18" count="1" selected="0">
            <x v="6"/>
          </reference>
        </references>
      </pivotArea>
    </format>
    <format dxfId="398">
      <pivotArea dataOnly="0" labelOnly="1" outline="0" fieldPosition="0">
        <references count="4">
          <reference field="9" count="1" selected="0">
            <x v="30"/>
          </reference>
          <reference field="10" count="1" selected="0">
            <x v="47"/>
          </reference>
          <reference field="14" count="1">
            <x v="7"/>
          </reference>
          <reference field="18" count="1" selected="0">
            <x v="22"/>
          </reference>
        </references>
      </pivotArea>
    </format>
    <format dxfId="397">
      <pivotArea dataOnly="0" labelOnly="1" outline="0" fieldPosition="0">
        <references count="4">
          <reference field="9" count="1" selected="0">
            <x v="31"/>
          </reference>
          <reference field="10" count="1" selected="0">
            <x v="51"/>
          </reference>
          <reference field="14" count="1">
            <x v="27"/>
          </reference>
          <reference field="18" count="1" selected="0">
            <x v="6"/>
          </reference>
        </references>
      </pivotArea>
    </format>
    <format dxfId="396">
      <pivotArea dataOnly="0" labelOnly="1" outline="0" fieldPosition="0">
        <references count="4">
          <reference field="9" count="1" selected="0">
            <x v="32"/>
          </reference>
          <reference field="10" count="1" selected="0">
            <x v="12"/>
          </reference>
          <reference field="14" count="1">
            <x v="4"/>
          </reference>
          <reference field="18" count="1" selected="0">
            <x v="0"/>
          </reference>
        </references>
      </pivotArea>
    </format>
    <format dxfId="395">
      <pivotArea dataOnly="0" labelOnly="1" outline="0" fieldPosition="0">
        <references count="4">
          <reference field="9" count="1" selected="0">
            <x v="32"/>
          </reference>
          <reference field="10" count="1" selected="0">
            <x v="12"/>
          </reference>
          <reference field="14" count="1">
            <x v="1"/>
          </reference>
          <reference field="18" count="1" selected="0">
            <x v="1"/>
          </reference>
        </references>
      </pivotArea>
    </format>
    <format dxfId="394">
      <pivotArea dataOnly="0" labelOnly="1" outline="0" fieldPosition="0">
        <references count="4">
          <reference field="9" count="1" selected="0">
            <x v="32"/>
          </reference>
          <reference field="10" count="1" selected="0">
            <x v="12"/>
          </reference>
          <reference field="14" count="1">
            <x v="11"/>
          </reference>
          <reference field="18" count="1" selected="0">
            <x v="3"/>
          </reference>
        </references>
      </pivotArea>
    </format>
    <format dxfId="393">
      <pivotArea dataOnly="0" labelOnly="1" outline="0" fieldPosition="0">
        <references count="4">
          <reference field="9" count="1" selected="0">
            <x v="32"/>
          </reference>
          <reference field="10" count="1" selected="0">
            <x v="12"/>
          </reference>
          <reference field="14" count="1">
            <x v="16"/>
          </reference>
          <reference field="18" count="1" selected="0">
            <x v="12"/>
          </reference>
        </references>
      </pivotArea>
    </format>
    <format dxfId="392">
      <pivotArea dataOnly="0" labelOnly="1" outline="0" fieldPosition="0">
        <references count="4">
          <reference field="9" count="1" selected="0">
            <x v="32"/>
          </reference>
          <reference field="10" count="1" selected="0">
            <x v="12"/>
          </reference>
          <reference field="14" count="1">
            <x v="25"/>
          </reference>
          <reference field="18" count="1" selected="0">
            <x v="14"/>
          </reference>
        </references>
      </pivotArea>
    </format>
    <format dxfId="391">
      <pivotArea dataOnly="0" labelOnly="1" outline="0" fieldPosition="0">
        <references count="4">
          <reference field="9" count="1" selected="0">
            <x v="32"/>
          </reference>
          <reference field="10" count="1" selected="0">
            <x v="12"/>
          </reference>
          <reference field="14" count="1">
            <x v="12"/>
          </reference>
          <reference field="18" count="1" selected="0">
            <x v="21"/>
          </reference>
        </references>
      </pivotArea>
    </format>
    <format dxfId="390">
      <pivotArea dataOnly="0" labelOnly="1" outline="0" fieldPosition="0">
        <references count="4">
          <reference field="9" count="1" selected="0">
            <x v="32"/>
          </reference>
          <reference field="10" count="1" selected="0">
            <x v="12"/>
          </reference>
          <reference field="14" count="1">
            <x v="7"/>
          </reference>
          <reference field="18" count="1" selected="0">
            <x v="22"/>
          </reference>
        </references>
      </pivotArea>
    </format>
    <format dxfId="389">
      <pivotArea dataOnly="0" labelOnly="1" outline="0" fieldPosition="0">
        <references count="4">
          <reference field="9" count="1" selected="0">
            <x v="32"/>
          </reference>
          <reference field="10" count="1" selected="0">
            <x v="12"/>
          </reference>
          <reference field="14" count="1">
            <x v="22"/>
          </reference>
          <reference field="18" count="1" selected="0">
            <x v="25"/>
          </reference>
        </references>
      </pivotArea>
    </format>
    <format dxfId="388">
      <pivotArea dataOnly="0" labelOnly="1" outline="0" fieldPosition="0">
        <references count="4">
          <reference field="9" count="1" selected="0">
            <x v="32"/>
          </reference>
          <reference field="10" count="1" selected="0">
            <x v="12"/>
          </reference>
          <reference field="14" count="1">
            <x v="5"/>
          </reference>
          <reference field="18" count="1" selected="0">
            <x v="28"/>
          </reference>
        </references>
      </pivotArea>
    </format>
    <format dxfId="387">
      <pivotArea dataOnly="0" labelOnly="1" outline="0" fieldPosition="0">
        <references count="4">
          <reference field="9" count="1" selected="0">
            <x v="32"/>
          </reference>
          <reference field="10" count="1" selected="0">
            <x v="12"/>
          </reference>
          <reference field="14" count="1">
            <x v="29"/>
          </reference>
          <reference field="18" count="1" selected="0">
            <x v="29"/>
          </reference>
        </references>
      </pivotArea>
    </format>
    <format dxfId="386">
      <pivotArea dataOnly="0" labelOnly="1" outline="0" fieldPosition="0">
        <references count="4">
          <reference field="9" count="1" selected="0">
            <x v="33"/>
          </reference>
          <reference field="10" count="1" selected="0">
            <x v="16"/>
          </reference>
          <reference field="14" count="1">
            <x v="11"/>
          </reference>
          <reference field="18" count="1" selected="0">
            <x v="3"/>
          </reference>
        </references>
      </pivotArea>
    </format>
    <format dxfId="385">
      <pivotArea dataOnly="0" labelOnly="1" outline="0" fieldPosition="0">
        <references count="4">
          <reference field="9" count="1" selected="0">
            <x v="34"/>
          </reference>
          <reference field="10" count="1" selected="0">
            <x v="20"/>
          </reference>
          <reference field="14" count="1">
            <x v="4"/>
          </reference>
          <reference field="18" count="1" selected="0">
            <x v="0"/>
          </reference>
        </references>
      </pivotArea>
    </format>
    <format dxfId="384">
      <pivotArea dataOnly="0" labelOnly="1" outline="0" fieldPosition="0">
        <references count="4">
          <reference field="9" count="1" selected="0">
            <x v="34"/>
          </reference>
          <reference field="10" count="1" selected="0">
            <x v="20"/>
          </reference>
          <reference field="14" count="1">
            <x v="1"/>
          </reference>
          <reference field="18" count="1" selected="0">
            <x v="1"/>
          </reference>
        </references>
      </pivotArea>
    </format>
    <format dxfId="383">
      <pivotArea dataOnly="0" labelOnly="1" outline="0" fieldPosition="0">
        <references count="4">
          <reference field="9" count="1" selected="0">
            <x v="34"/>
          </reference>
          <reference field="10" count="1" selected="0">
            <x v="20"/>
          </reference>
          <reference field="14" count="1">
            <x v="10"/>
          </reference>
          <reference field="18" count="1" selected="0">
            <x v="7"/>
          </reference>
        </references>
      </pivotArea>
    </format>
    <format dxfId="382">
      <pivotArea dataOnly="0" labelOnly="1" outline="0" fieldPosition="0">
        <references count="4">
          <reference field="9" count="1" selected="0">
            <x v="34"/>
          </reference>
          <reference field="10" count="1" selected="0">
            <x v="20"/>
          </reference>
          <reference field="14" count="1">
            <x v="9"/>
          </reference>
          <reference field="18" count="1" selected="0">
            <x v="8"/>
          </reference>
        </references>
      </pivotArea>
    </format>
    <format dxfId="381">
      <pivotArea dataOnly="0" labelOnly="1" outline="0" fieldPosition="0">
        <references count="4">
          <reference field="9" count="1" selected="0">
            <x v="34"/>
          </reference>
          <reference field="10" count="1" selected="0">
            <x v="20"/>
          </reference>
          <reference field="14" count="1">
            <x v="8"/>
          </reference>
          <reference field="18" count="1" selected="0">
            <x v="9"/>
          </reference>
        </references>
      </pivotArea>
    </format>
    <format dxfId="380">
      <pivotArea dataOnly="0" labelOnly="1" outline="0" fieldPosition="0">
        <references count="4">
          <reference field="9" count="1" selected="0">
            <x v="34"/>
          </reference>
          <reference field="10" count="1" selected="0">
            <x v="20"/>
          </reference>
          <reference field="14" count="1">
            <x v="17"/>
          </reference>
          <reference field="18" count="1" selected="0">
            <x v="11"/>
          </reference>
        </references>
      </pivotArea>
    </format>
    <format dxfId="379">
      <pivotArea dataOnly="0" labelOnly="1" outline="0" fieldPosition="0">
        <references count="4">
          <reference field="9" count="1" selected="0">
            <x v="34"/>
          </reference>
          <reference field="10" count="1" selected="0">
            <x v="20"/>
          </reference>
          <reference field="14" count="1">
            <x v="16"/>
          </reference>
          <reference field="18" count="1" selected="0">
            <x v="12"/>
          </reference>
        </references>
      </pivotArea>
    </format>
    <format dxfId="378">
      <pivotArea dataOnly="0" labelOnly="1" outline="0" fieldPosition="0">
        <references count="4">
          <reference field="9" count="1" selected="0">
            <x v="34"/>
          </reference>
          <reference field="10" count="1" selected="0">
            <x v="20"/>
          </reference>
          <reference field="14" count="1">
            <x v="18"/>
          </reference>
          <reference field="18" count="1" selected="0">
            <x v="13"/>
          </reference>
        </references>
      </pivotArea>
    </format>
    <format dxfId="377">
      <pivotArea dataOnly="0" labelOnly="1" outline="0" fieldPosition="0">
        <references count="4">
          <reference field="9" count="1" selected="0">
            <x v="34"/>
          </reference>
          <reference field="10" count="1" selected="0">
            <x v="20"/>
          </reference>
          <reference field="14" count="1">
            <x v="15"/>
          </reference>
          <reference field="18" count="1" selected="0">
            <x v="15"/>
          </reference>
        </references>
      </pivotArea>
    </format>
    <format dxfId="376">
      <pivotArea dataOnly="0" labelOnly="1" outline="0" fieldPosition="0">
        <references count="4">
          <reference field="9" count="1" selected="0">
            <x v="34"/>
          </reference>
          <reference field="10" count="1" selected="0">
            <x v="20"/>
          </reference>
          <reference field="14" count="1">
            <x v="19"/>
          </reference>
          <reference field="18" count="1" selected="0">
            <x v="16"/>
          </reference>
        </references>
      </pivotArea>
    </format>
    <format dxfId="375">
      <pivotArea dataOnly="0" labelOnly="1" outline="0" fieldPosition="0">
        <references count="4">
          <reference field="9" count="1" selected="0">
            <x v="34"/>
          </reference>
          <reference field="10" count="1" selected="0">
            <x v="20"/>
          </reference>
          <reference field="14" count="1">
            <x v="14"/>
          </reference>
          <reference field="18" count="1" selected="0">
            <x v="18"/>
          </reference>
        </references>
      </pivotArea>
    </format>
    <format dxfId="374">
      <pivotArea dataOnly="0" labelOnly="1" outline="0" fieldPosition="0">
        <references count="4">
          <reference field="9" count="1" selected="0">
            <x v="34"/>
          </reference>
          <reference field="10" count="1" selected="0">
            <x v="20"/>
          </reference>
          <reference field="14" count="1">
            <x v="7"/>
          </reference>
          <reference field="18" count="1" selected="0">
            <x v="22"/>
          </reference>
        </references>
      </pivotArea>
    </format>
    <format dxfId="373">
      <pivotArea dataOnly="0" labelOnly="1" outline="0" fieldPosition="0">
        <references count="4">
          <reference field="9" count="1" selected="0">
            <x v="34"/>
          </reference>
          <reference field="10" count="1" selected="0">
            <x v="20"/>
          </reference>
          <reference field="14" count="1">
            <x v="22"/>
          </reference>
          <reference field="18" count="1" selected="0">
            <x v="25"/>
          </reference>
        </references>
      </pivotArea>
    </format>
    <format dxfId="372">
      <pivotArea dataOnly="0" labelOnly="1" outline="0" fieldPosition="0">
        <references count="4">
          <reference field="9" count="1" selected="0">
            <x v="34"/>
          </reference>
          <reference field="10" count="1" selected="0">
            <x v="20"/>
          </reference>
          <reference field="14" count="1">
            <x v="21"/>
          </reference>
          <reference field="18" count="1" selected="0">
            <x v="27"/>
          </reference>
        </references>
      </pivotArea>
    </format>
    <format dxfId="371">
      <pivotArea dataOnly="0" labelOnly="1" outline="0" fieldPosition="0">
        <references count="4">
          <reference field="9" count="1" selected="0">
            <x v="34"/>
          </reference>
          <reference field="10" count="1" selected="0">
            <x v="20"/>
          </reference>
          <reference field="14" count="1">
            <x v="5"/>
          </reference>
          <reference field="18" count="1" selected="0">
            <x v="28"/>
          </reference>
        </references>
      </pivotArea>
    </format>
    <format dxfId="370">
      <pivotArea dataOnly="0" labelOnly="1" outline="0" fieldPosition="0">
        <references count="4">
          <reference field="9" count="1" selected="0">
            <x v="34"/>
          </reference>
          <reference field="10" count="1" selected="0">
            <x v="20"/>
          </reference>
          <reference field="14" count="1">
            <x v="29"/>
          </reference>
          <reference field="18" count="1" selected="0">
            <x v="29"/>
          </reference>
        </references>
      </pivotArea>
    </format>
    <format dxfId="369">
      <pivotArea dataOnly="0" labelOnly="1" outline="0" fieldPosition="0">
        <references count="4">
          <reference field="9" count="1" selected="0">
            <x v="34"/>
          </reference>
          <reference field="10" count="1" selected="0">
            <x v="20"/>
          </reference>
          <reference field="14" count="1">
            <x v="26"/>
          </reference>
          <reference field="18" count="1" selected="0">
            <x v="30"/>
          </reference>
        </references>
      </pivotArea>
    </format>
    <format dxfId="368">
      <pivotArea dataOnly="0" labelOnly="1" outline="0" fieldPosition="0">
        <references count="4">
          <reference field="9" count="1" selected="0">
            <x v="35"/>
          </reference>
          <reference field="10" count="1" selected="0">
            <x v="24"/>
          </reference>
          <reference field="14" count="1">
            <x v="27"/>
          </reference>
          <reference field="18" count="1" selected="0">
            <x v="6"/>
          </reference>
        </references>
      </pivotArea>
    </format>
    <format dxfId="367">
      <pivotArea dataOnly="0" labelOnly="1" outline="0" fieldPosition="0">
        <references count="4">
          <reference field="9" count="1" selected="0">
            <x v="36"/>
          </reference>
          <reference field="10" count="1" selected="0">
            <x v="28"/>
          </reference>
          <reference field="14" count="1">
            <x v="6"/>
          </reference>
          <reference field="18" count="1" selected="0">
            <x v="4"/>
          </reference>
        </references>
      </pivotArea>
    </format>
    <format dxfId="366">
      <pivotArea dataOnly="0" labelOnly="1" outline="0" fieldPosition="0">
        <references count="4">
          <reference field="9" count="1" selected="0">
            <x v="36"/>
          </reference>
          <reference field="10" count="1" selected="0">
            <x v="28"/>
          </reference>
          <reference field="14" count="1">
            <x v="19"/>
          </reference>
          <reference field="18" count="1" selected="0">
            <x v="16"/>
          </reference>
        </references>
      </pivotArea>
    </format>
    <format dxfId="365">
      <pivotArea dataOnly="0" labelOnly="1" outline="0" fieldPosition="0">
        <references count="4">
          <reference field="9" count="1" selected="0">
            <x v="36"/>
          </reference>
          <reference field="10" count="1" selected="0">
            <x v="28"/>
          </reference>
          <reference field="14" count="1">
            <x v="26"/>
          </reference>
          <reference field="18" count="1" selected="0">
            <x v="30"/>
          </reference>
        </references>
      </pivotArea>
    </format>
    <format dxfId="364">
      <pivotArea dataOnly="0" labelOnly="1" outline="0" fieldPosition="0">
        <references count="4">
          <reference field="9" count="1" selected="0">
            <x v="37"/>
          </reference>
          <reference field="10" count="1" selected="0">
            <x v="32"/>
          </reference>
          <reference field="14" count="1">
            <x v="1"/>
          </reference>
          <reference field="18" count="1" selected="0">
            <x v="1"/>
          </reference>
        </references>
      </pivotArea>
    </format>
    <format dxfId="363">
      <pivotArea dataOnly="0" labelOnly="1" outline="0" fieldPosition="0">
        <references count="4">
          <reference field="9" count="1" selected="0">
            <x v="37"/>
          </reference>
          <reference field="10" count="1" selected="0">
            <x v="32"/>
          </reference>
          <reference field="14" count="1">
            <x v="28"/>
          </reference>
          <reference field="18" count="1" selected="0">
            <x v="5"/>
          </reference>
        </references>
      </pivotArea>
    </format>
    <format dxfId="362">
      <pivotArea dataOnly="0" labelOnly="1" outline="0" fieldPosition="0">
        <references count="4">
          <reference field="9" count="1" selected="0">
            <x v="37"/>
          </reference>
          <reference field="10" count="1" selected="0">
            <x v="32"/>
          </reference>
          <reference field="14" count="1">
            <x v="10"/>
          </reference>
          <reference field="18" count="1" selected="0">
            <x v="7"/>
          </reference>
        </references>
      </pivotArea>
    </format>
    <format dxfId="361">
      <pivotArea dataOnly="0" labelOnly="1" outline="0" fieldPosition="0">
        <references count="4">
          <reference field="9" count="1" selected="0">
            <x v="37"/>
          </reference>
          <reference field="10" count="1" selected="0">
            <x v="32"/>
          </reference>
          <reference field="14" count="1">
            <x v="8"/>
          </reference>
          <reference field="18" count="1" selected="0">
            <x v="9"/>
          </reference>
        </references>
      </pivotArea>
    </format>
    <format dxfId="360">
      <pivotArea dataOnly="0" labelOnly="1" outline="0" fieldPosition="0">
        <references count="4">
          <reference field="9" count="1" selected="0">
            <x v="37"/>
          </reference>
          <reference field="10" count="1" selected="0">
            <x v="32"/>
          </reference>
          <reference field="14" count="1">
            <x v="16"/>
          </reference>
          <reference field="18" count="1" selected="0">
            <x v="12"/>
          </reference>
        </references>
      </pivotArea>
    </format>
    <format dxfId="359">
      <pivotArea dataOnly="0" labelOnly="1" outline="0" fieldPosition="0">
        <references count="4">
          <reference field="9" count="1" selected="0">
            <x v="37"/>
          </reference>
          <reference field="10" count="1" selected="0">
            <x v="32"/>
          </reference>
          <reference field="14" count="1">
            <x v="25"/>
          </reference>
          <reference field="18" count="1" selected="0">
            <x v="14"/>
          </reference>
        </references>
      </pivotArea>
    </format>
    <format dxfId="358">
      <pivotArea dataOnly="0" labelOnly="1" outline="0" fieldPosition="0">
        <references count="4">
          <reference field="9" count="1" selected="0">
            <x v="37"/>
          </reference>
          <reference field="10" count="1" selected="0">
            <x v="32"/>
          </reference>
          <reference field="14" count="1">
            <x v="15"/>
          </reference>
          <reference field="18" count="1" selected="0">
            <x v="15"/>
          </reference>
        </references>
      </pivotArea>
    </format>
    <format dxfId="357">
      <pivotArea dataOnly="0" labelOnly="1" outline="0" fieldPosition="0">
        <references count="4">
          <reference field="9" count="1" selected="0">
            <x v="37"/>
          </reference>
          <reference field="10" count="1" selected="0">
            <x v="32"/>
          </reference>
          <reference field="14" count="1">
            <x v="22"/>
          </reference>
          <reference field="18" count="1" selected="0">
            <x v="25"/>
          </reference>
        </references>
      </pivotArea>
    </format>
    <format dxfId="356">
      <pivotArea dataOnly="0" labelOnly="1" outline="0" fieldPosition="0">
        <references count="4">
          <reference field="9" count="1" selected="0">
            <x v="37"/>
          </reference>
          <reference field="10" count="1" selected="0">
            <x v="32"/>
          </reference>
          <reference field="14" count="1">
            <x v="5"/>
          </reference>
          <reference field="18" count="1" selected="0">
            <x v="28"/>
          </reference>
        </references>
      </pivotArea>
    </format>
    <format dxfId="355">
      <pivotArea dataOnly="0" labelOnly="1" outline="0" fieldPosition="0">
        <references count="4">
          <reference field="9" count="1" selected="0">
            <x v="37"/>
          </reference>
          <reference field="10" count="1" selected="0">
            <x v="32"/>
          </reference>
          <reference field="14" count="1">
            <x v="29"/>
          </reference>
          <reference field="18" count="1" selected="0">
            <x v="29"/>
          </reference>
        </references>
      </pivotArea>
    </format>
    <format dxfId="354">
      <pivotArea dataOnly="0" labelOnly="1" outline="0" fieldPosition="0">
        <references count="4">
          <reference field="9" count="1" selected="0">
            <x v="38"/>
          </reference>
          <reference field="10" count="1" selected="0">
            <x v="36"/>
          </reference>
          <reference field="14" count="1">
            <x v="7"/>
          </reference>
          <reference field="18" count="1" selected="0">
            <x v="22"/>
          </reference>
        </references>
      </pivotArea>
    </format>
    <format dxfId="353">
      <pivotArea dataOnly="0" labelOnly="1" outline="0" fieldPosition="0">
        <references count="4">
          <reference field="9" count="1" selected="0">
            <x v="39"/>
          </reference>
          <reference field="10" count="1" selected="0">
            <x v="40"/>
          </reference>
          <reference field="14" count="1">
            <x v="17"/>
          </reference>
          <reference field="18" count="1" selected="0">
            <x v="11"/>
          </reference>
        </references>
      </pivotArea>
    </format>
    <format dxfId="352">
      <pivotArea dataOnly="0" labelOnly="1" outline="0" fieldPosition="0">
        <references count="4">
          <reference field="9" count="1" selected="0">
            <x v="39"/>
          </reference>
          <reference field="10" count="1" selected="0">
            <x v="40"/>
          </reference>
          <reference field="14" count="1">
            <x v="16"/>
          </reference>
          <reference field="18" count="1" selected="0">
            <x v="12"/>
          </reference>
        </references>
      </pivotArea>
    </format>
    <format dxfId="351">
      <pivotArea dataOnly="0" labelOnly="1" outline="0" fieldPosition="0">
        <references count="4">
          <reference field="9" count="1" selected="0">
            <x v="39"/>
          </reference>
          <reference field="10" count="1" selected="0">
            <x v="40"/>
          </reference>
          <reference field="14" count="1">
            <x v="18"/>
          </reference>
          <reference field="18" count="1" selected="0">
            <x v="13"/>
          </reference>
        </references>
      </pivotArea>
    </format>
    <format dxfId="350">
      <pivotArea dataOnly="0" labelOnly="1" outline="0" fieldPosition="0">
        <references count="4">
          <reference field="9" count="1" selected="0">
            <x v="39"/>
          </reference>
          <reference field="10" count="1" selected="0">
            <x v="40"/>
          </reference>
          <reference field="14" count="1">
            <x v="15"/>
          </reference>
          <reference field="18" count="1" selected="0">
            <x v="15"/>
          </reference>
        </references>
      </pivotArea>
    </format>
    <format dxfId="349">
      <pivotArea dataOnly="0" labelOnly="1" outline="0" fieldPosition="0">
        <references count="4">
          <reference field="9" count="1" selected="0">
            <x v="39"/>
          </reference>
          <reference field="10" count="1" selected="0">
            <x v="40"/>
          </reference>
          <reference field="14" count="1">
            <x v="22"/>
          </reference>
          <reference field="18" count="1" selected="0">
            <x v="25"/>
          </reference>
        </references>
      </pivotArea>
    </format>
    <format dxfId="348">
      <pivotArea dataOnly="0" labelOnly="1" outline="0" fieldPosition="0">
        <references count="4">
          <reference field="9" count="1" selected="0">
            <x v="39"/>
          </reference>
          <reference field="10" count="1" selected="0">
            <x v="40"/>
          </reference>
          <reference field="14" count="1">
            <x v="21"/>
          </reference>
          <reference field="18" count="1" selected="0">
            <x v="27"/>
          </reference>
        </references>
      </pivotArea>
    </format>
    <format dxfId="347">
      <pivotArea dataOnly="0" labelOnly="1" outline="0" fieldPosition="0">
        <references count="4">
          <reference field="9" count="1" selected="0">
            <x v="39"/>
          </reference>
          <reference field="10" count="1" selected="0">
            <x v="40"/>
          </reference>
          <reference field="14" count="1">
            <x v="29"/>
          </reference>
          <reference field="18" count="1" selected="0">
            <x v="29"/>
          </reference>
        </references>
      </pivotArea>
    </format>
    <format dxfId="346">
      <pivotArea dataOnly="0" labelOnly="1" outline="0" fieldPosition="0">
        <references count="4">
          <reference field="9" count="1" selected="0">
            <x v="40"/>
          </reference>
          <reference field="10" count="1" selected="0">
            <x v="44"/>
          </reference>
          <reference field="14" count="1">
            <x v="11"/>
          </reference>
          <reference field="18" count="1" selected="0">
            <x v="3"/>
          </reference>
        </references>
      </pivotArea>
    </format>
    <format dxfId="345">
      <pivotArea dataOnly="0" labelOnly="1" outline="0" fieldPosition="0">
        <references count="4">
          <reference field="9" count="1" selected="0">
            <x v="40"/>
          </reference>
          <reference field="10" count="1" selected="0">
            <x v="44"/>
          </reference>
          <reference field="14" count="1">
            <x v="28"/>
          </reference>
          <reference field="18" count="1" selected="0">
            <x v="5"/>
          </reference>
        </references>
      </pivotArea>
    </format>
    <format dxfId="344">
      <pivotArea dataOnly="0" labelOnly="1" outline="0" fieldPosition="0">
        <references count="4">
          <reference field="9" count="1" selected="0">
            <x v="40"/>
          </reference>
          <reference field="10" count="1" selected="0">
            <x v="44"/>
          </reference>
          <reference field="14" count="1">
            <x v="10"/>
          </reference>
          <reference field="18" count="1" selected="0">
            <x v="7"/>
          </reference>
        </references>
      </pivotArea>
    </format>
    <format dxfId="343">
      <pivotArea dataOnly="0" labelOnly="1" outline="0" fieldPosition="0">
        <references count="4">
          <reference field="9" count="1" selected="0">
            <x v="40"/>
          </reference>
          <reference field="10" count="1" selected="0">
            <x v="44"/>
          </reference>
          <reference field="14" count="1">
            <x v="9"/>
          </reference>
          <reference field="18" count="1" selected="0">
            <x v="8"/>
          </reference>
        </references>
      </pivotArea>
    </format>
    <format dxfId="342">
      <pivotArea dataOnly="0" labelOnly="1" outline="0" fieldPosition="0">
        <references count="4">
          <reference field="9" count="1" selected="0">
            <x v="40"/>
          </reference>
          <reference field="10" count="1" selected="0">
            <x v="44"/>
          </reference>
          <reference field="14" count="1">
            <x v="8"/>
          </reference>
          <reference field="18" count="1" selected="0">
            <x v="9"/>
          </reference>
        </references>
      </pivotArea>
    </format>
    <format dxfId="341">
      <pivotArea dataOnly="0" labelOnly="1" outline="0" fieldPosition="0">
        <references count="4">
          <reference field="9" count="1" selected="0">
            <x v="40"/>
          </reference>
          <reference field="10" count="1" selected="0">
            <x v="44"/>
          </reference>
          <reference field="14" count="1">
            <x v="25"/>
          </reference>
          <reference field="18" count="1" selected="0">
            <x v="14"/>
          </reference>
        </references>
      </pivotArea>
    </format>
    <format dxfId="340">
      <pivotArea dataOnly="0" labelOnly="1" outline="0" fieldPosition="0">
        <references count="4">
          <reference field="9" count="1" selected="0">
            <x v="40"/>
          </reference>
          <reference field="10" count="1" selected="0">
            <x v="44"/>
          </reference>
          <reference field="14" count="1">
            <x v="15"/>
          </reference>
          <reference field="18" count="1" selected="0">
            <x v="15"/>
          </reference>
        </references>
      </pivotArea>
    </format>
    <format dxfId="339">
      <pivotArea dataOnly="0" labelOnly="1" outline="0" fieldPosition="0">
        <references count="4">
          <reference field="9" count="1" selected="0">
            <x v="40"/>
          </reference>
          <reference field="10" count="1" selected="0">
            <x v="44"/>
          </reference>
          <reference field="14" count="1">
            <x v="5"/>
          </reference>
          <reference field="18" count="1" selected="0">
            <x v="28"/>
          </reference>
        </references>
      </pivotArea>
    </format>
    <format dxfId="338">
      <pivotArea dataOnly="0" labelOnly="1" outline="0" fieldPosition="0">
        <references count="4">
          <reference field="9" count="1" selected="0">
            <x v="41"/>
          </reference>
          <reference field="10" count="1" selected="0">
            <x v="48"/>
          </reference>
          <reference field="14" count="1">
            <x v="27"/>
          </reference>
          <reference field="18" count="1" selected="0">
            <x v="6"/>
          </reference>
        </references>
      </pivotArea>
    </format>
    <format dxfId="337">
      <pivotArea dataOnly="0" labelOnly="1" outline="0" fieldPosition="0">
        <references count="4">
          <reference field="9" count="1" selected="0">
            <x v="41"/>
          </reference>
          <reference field="10" count="1" selected="0">
            <x v="48"/>
          </reference>
          <reference field="14" count="1">
            <x v="7"/>
          </reference>
          <reference field="18" count="1" selected="0">
            <x v="22"/>
          </reference>
        </references>
      </pivotArea>
    </format>
    <format dxfId="336">
      <pivotArea dataOnly="0" labelOnly="1" outline="0" fieldPosition="0">
        <references count="4">
          <reference field="9" count="1" selected="0">
            <x v="42"/>
          </reference>
          <reference field="10" count="1" selected="0">
            <x v="52"/>
          </reference>
          <reference field="14" count="1">
            <x v="27"/>
          </reference>
          <reference field="18" count="1" selected="0">
            <x v="6"/>
          </reference>
        </references>
      </pivotArea>
    </format>
    <format dxfId="335">
      <pivotArea dataOnly="0" labelOnly="1" outline="0" fieldPosition="0">
        <references count="4">
          <reference field="9" count="1" selected="0">
            <x v="43"/>
          </reference>
          <reference field="10" count="1" selected="0">
            <x v="9"/>
          </reference>
          <reference field="14" count="1">
            <x v="1"/>
          </reference>
          <reference field="18" count="1" selected="0">
            <x v="1"/>
          </reference>
        </references>
      </pivotArea>
    </format>
    <format dxfId="334">
      <pivotArea dataOnly="0" labelOnly="1" outline="0" fieldPosition="0">
        <references count="4">
          <reference field="9" count="1" selected="0">
            <x v="43"/>
          </reference>
          <reference field="10" count="1" selected="0">
            <x v="9"/>
          </reference>
          <reference field="14" count="1">
            <x v="11"/>
          </reference>
          <reference field="18" count="1" selected="0">
            <x v="3"/>
          </reference>
        </references>
      </pivotArea>
    </format>
    <format dxfId="333">
      <pivotArea dataOnly="0" labelOnly="1" outline="0" fieldPosition="0">
        <references count="4">
          <reference field="9" count="1" selected="0">
            <x v="43"/>
          </reference>
          <reference field="10" count="1" selected="0">
            <x v="9"/>
          </reference>
          <reference field="14" count="1">
            <x v="10"/>
          </reference>
          <reference field="18" count="1" selected="0">
            <x v="7"/>
          </reference>
        </references>
      </pivotArea>
    </format>
    <format dxfId="332">
      <pivotArea dataOnly="0" labelOnly="1" outline="0" fieldPosition="0">
        <references count="4">
          <reference field="9" count="1" selected="0">
            <x v="43"/>
          </reference>
          <reference field="10" count="1" selected="0">
            <x v="9"/>
          </reference>
          <reference field="14" count="1">
            <x v="25"/>
          </reference>
          <reference field="18" count="1" selected="0">
            <x v="14"/>
          </reference>
        </references>
      </pivotArea>
    </format>
    <format dxfId="331">
      <pivotArea dataOnly="0" labelOnly="1" outline="0" fieldPosition="0">
        <references count="4">
          <reference field="9" count="1" selected="0">
            <x v="43"/>
          </reference>
          <reference field="10" count="1" selected="0">
            <x v="9"/>
          </reference>
          <reference field="14" count="1">
            <x v="12"/>
          </reference>
          <reference field="18" count="1" selected="0">
            <x v="21"/>
          </reference>
        </references>
      </pivotArea>
    </format>
    <format dxfId="330">
      <pivotArea dataOnly="0" labelOnly="1" outline="0" fieldPosition="0">
        <references count="4">
          <reference field="9" count="1" selected="0">
            <x v="43"/>
          </reference>
          <reference field="10" count="1" selected="0">
            <x v="9"/>
          </reference>
          <reference field="14" count="1">
            <x v="5"/>
          </reference>
          <reference field="18" count="1" selected="0">
            <x v="28"/>
          </reference>
        </references>
      </pivotArea>
    </format>
    <format dxfId="329">
      <pivotArea dataOnly="0" labelOnly="1" outline="0" fieldPosition="0">
        <references count="4">
          <reference field="9" count="1" selected="0">
            <x v="43"/>
          </reference>
          <reference field="10" count="1" selected="0">
            <x v="9"/>
          </reference>
          <reference field="14" count="1">
            <x v="29"/>
          </reference>
          <reference field="18" count="1" selected="0">
            <x v="29"/>
          </reference>
        </references>
      </pivotArea>
    </format>
    <format dxfId="328">
      <pivotArea dataOnly="0" labelOnly="1" outline="0" fieldPosition="0">
        <references count="4">
          <reference field="9" count="1" selected="0">
            <x v="44"/>
          </reference>
          <reference field="10" count="1" selected="0">
            <x v="13"/>
          </reference>
          <reference field="14" count="1">
            <x v="11"/>
          </reference>
          <reference field="18" count="1" selected="0">
            <x v="3"/>
          </reference>
        </references>
      </pivotArea>
    </format>
    <format dxfId="327">
      <pivotArea dataOnly="0" labelOnly="1" outline="0" fieldPosition="0">
        <references count="4">
          <reference field="9" count="1" selected="0">
            <x v="45"/>
          </reference>
          <reference field="10" count="1" selected="0">
            <x v="17"/>
          </reference>
          <reference field="14" count="1">
            <x v="4"/>
          </reference>
          <reference field="18" count="1" selected="0">
            <x v="0"/>
          </reference>
        </references>
      </pivotArea>
    </format>
    <format dxfId="326">
      <pivotArea dataOnly="0" labelOnly="1" outline="0" fieldPosition="0">
        <references count="4">
          <reference field="9" count="1" selected="0">
            <x v="45"/>
          </reference>
          <reference field="10" count="1" selected="0">
            <x v="17"/>
          </reference>
          <reference field="14" count="1">
            <x v="1"/>
          </reference>
          <reference field="18" count="1" selected="0">
            <x v="1"/>
          </reference>
        </references>
      </pivotArea>
    </format>
    <format dxfId="325">
      <pivotArea dataOnly="0" labelOnly="1" outline="0" fieldPosition="0">
        <references count="4">
          <reference field="9" count="1" selected="0">
            <x v="45"/>
          </reference>
          <reference field="10" count="1" selected="0">
            <x v="17"/>
          </reference>
          <reference field="14" count="1">
            <x v="11"/>
          </reference>
          <reference field="18" count="1" selected="0">
            <x v="3"/>
          </reference>
        </references>
      </pivotArea>
    </format>
    <format dxfId="324">
      <pivotArea dataOnly="0" labelOnly="1" outline="0" fieldPosition="0">
        <references count="4">
          <reference field="9" count="1" selected="0">
            <x v="45"/>
          </reference>
          <reference field="10" count="1" selected="0">
            <x v="17"/>
          </reference>
          <reference field="14" count="1">
            <x v="10"/>
          </reference>
          <reference field="18" count="1" selected="0">
            <x v="7"/>
          </reference>
        </references>
      </pivotArea>
    </format>
    <format dxfId="323">
      <pivotArea dataOnly="0" labelOnly="1" outline="0" fieldPosition="0">
        <references count="4">
          <reference field="9" count="1" selected="0">
            <x v="45"/>
          </reference>
          <reference field="10" count="1" selected="0">
            <x v="17"/>
          </reference>
          <reference field="14" count="1">
            <x v="9"/>
          </reference>
          <reference field="18" count="1" selected="0">
            <x v="8"/>
          </reference>
        </references>
      </pivotArea>
    </format>
    <format dxfId="322">
      <pivotArea dataOnly="0" labelOnly="1" outline="0" fieldPosition="0">
        <references count="4">
          <reference field="9" count="1" selected="0">
            <x v="45"/>
          </reference>
          <reference field="10" count="1" selected="0">
            <x v="17"/>
          </reference>
          <reference field="14" count="1">
            <x v="8"/>
          </reference>
          <reference field="18" count="1" selected="0">
            <x v="9"/>
          </reference>
        </references>
      </pivotArea>
    </format>
    <format dxfId="321">
      <pivotArea dataOnly="0" labelOnly="1" outline="0" fieldPosition="0">
        <references count="4">
          <reference field="9" count="1" selected="0">
            <x v="45"/>
          </reference>
          <reference field="10" count="1" selected="0">
            <x v="17"/>
          </reference>
          <reference field="14" count="1">
            <x v="17"/>
          </reference>
          <reference field="18" count="1" selected="0">
            <x v="11"/>
          </reference>
        </references>
      </pivotArea>
    </format>
    <format dxfId="320">
      <pivotArea dataOnly="0" labelOnly="1" outline="0" fieldPosition="0">
        <references count="4">
          <reference field="9" count="1" selected="0">
            <x v="45"/>
          </reference>
          <reference field="10" count="1" selected="0">
            <x v="17"/>
          </reference>
          <reference field="14" count="1">
            <x v="16"/>
          </reference>
          <reference field="18" count="1" selected="0">
            <x v="12"/>
          </reference>
        </references>
      </pivotArea>
    </format>
    <format dxfId="319">
      <pivotArea dataOnly="0" labelOnly="1" outline="0" fieldPosition="0">
        <references count="4">
          <reference field="9" count="1" selected="0">
            <x v="45"/>
          </reference>
          <reference field="10" count="1" selected="0">
            <x v="17"/>
          </reference>
          <reference field="14" count="1">
            <x v="18"/>
          </reference>
          <reference field="18" count="1" selected="0">
            <x v="13"/>
          </reference>
        </references>
      </pivotArea>
    </format>
    <format dxfId="318">
      <pivotArea dataOnly="0" labelOnly="1" outline="0" fieldPosition="0">
        <references count="4">
          <reference field="9" count="1" selected="0">
            <x v="45"/>
          </reference>
          <reference field="10" count="1" selected="0">
            <x v="17"/>
          </reference>
          <reference field="14" count="1">
            <x v="25"/>
          </reference>
          <reference field="18" count="1" selected="0">
            <x v="14"/>
          </reference>
        </references>
      </pivotArea>
    </format>
    <format dxfId="317">
      <pivotArea dataOnly="0" labelOnly="1" outline="0" fieldPosition="0">
        <references count="4">
          <reference field="9" count="1" selected="0">
            <x v="45"/>
          </reference>
          <reference field="10" count="1" selected="0">
            <x v="17"/>
          </reference>
          <reference field="14" count="1">
            <x v="19"/>
          </reference>
          <reference field="18" count="1" selected="0">
            <x v="16"/>
          </reference>
        </references>
      </pivotArea>
    </format>
    <format dxfId="316">
      <pivotArea dataOnly="0" labelOnly="1" outline="0" fieldPosition="0">
        <references count="4">
          <reference field="9" count="1" selected="0">
            <x v="45"/>
          </reference>
          <reference field="10" count="1" selected="0">
            <x v="17"/>
          </reference>
          <reference field="14" count="1">
            <x v="14"/>
          </reference>
          <reference field="18" count="1" selected="0">
            <x v="18"/>
          </reference>
        </references>
      </pivotArea>
    </format>
    <format dxfId="315">
      <pivotArea dataOnly="0" labelOnly="1" outline="0" fieldPosition="0">
        <references count="4">
          <reference field="9" count="1" selected="0">
            <x v="45"/>
          </reference>
          <reference field="10" count="1" selected="0">
            <x v="17"/>
          </reference>
          <reference field="14" count="1">
            <x v="7"/>
          </reference>
          <reference field="18" count="1" selected="0">
            <x v="22"/>
          </reference>
        </references>
      </pivotArea>
    </format>
    <format dxfId="314">
      <pivotArea dataOnly="0" labelOnly="1" outline="0" fieldPosition="0">
        <references count="4">
          <reference field="9" count="1" selected="0">
            <x v="45"/>
          </reference>
          <reference field="10" count="1" selected="0">
            <x v="17"/>
          </reference>
          <reference field="14" count="1">
            <x v="21"/>
          </reference>
          <reference field="18" count="1" selected="0">
            <x v="27"/>
          </reference>
        </references>
      </pivotArea>
    </format>
    <format dxfId="313">
      <pivotArea dataOnly="0" labelOnly="1" outline="0" fieldPosition="0">
        <references count="4">
          <reference field="9" count="1" selected="0">
            <x v="45"/>
          </reference>
          <reference field="10" count="1" selected="0">
            <x v="17"/>
          </reference>
          <reference field="14" count="1">
            <x v="5"/>
          </reference>
          <reference field="18" count="1" selected="0">
            <x v="28"/>
          </reference>
        </references>
      </pivotArea>
    </format>
    <format dxfId="312">
      <pivotArea dataOnly="0" labelOnly="1" outline="0" fieldPosition="0">
        <references count="4">
          <reference field="9" count="1" selected="0">
            <x v="45"/>
          </reference>
          <reference field="10" count="1" selected="0">
            <x v="17"/>
          </reference>
          <reference field="14" count="1">
            <x v="29"/>
          </reference>
          <reference field="18" count="1" selected="0">
            <x v="29"/>
          </reference>
        </references>
      </pivotArea>
    </format>
    <format dxfId="311">
      <pivotArea dataOnly="0" labelOnly="1" outline="0" fieldPosition="0">
        <references count="4">
          <reference field="9" count="1" selected="0">
            <x v="45"/>
          </reference>
          <reference field="10" count="1" selected="0">
            <x v="17"/>
          </reference>
          <reference field="14" count="1">
            <x v="26"/>
          </reference>
          <reference field="18" count="1" selected="0">
            <x v="30"/>
          </reference>
        </references>
      </pivotArea>
    </format>
    <format dxfId="310">
      <pivotArea dataOnly="0" labelOnly="1" outline="0" fieldPosition="0">
        <references count="4">
          <reference field="9" count="1" selected="0">
            <x v="46"/>
          </reference>
          <reference field="10" count="1" selected="0">
            <x v="21"/>
          </reference>
          <reference field="14" count="1">
            <x v="27"/>
          </reference>
          <reference field="18" count="1" selected="0">
            <x v="6"/>
          </reference>
        </references>
      </pivotArea>
    </format>
    <format dxfId="309">
      <pivotArea dataOnly="0" labelOnly="1" outline="0" fieldPosition="0">
        <references count="4">
          <reference field="9" count="1" selected="0">
            <x v="47"/>
          </reference>
          <reference field="10" count="1" selected="0">
            <x v="25"/>
          </reference>
          <reference field="14" count="1">
            <x v="19"/>
          </reference>
          <reference field="18" count="1" selected="0">
            <x v="16"/>
          </reference>
        </references>
      </pivotArea>
    </format>
    <format dxfId="308">
      <pivotArea dataOnly="0" labelOnly="1" outline="0" fieldPosition="0">
        <references count="4">
          <reference field="9" count="1" selected="0">
            <x v="47"/>
          </reference>
          <reference field="10" count="1" selected="0">
            <x v="25"/>
          </reference>
          <reference field="14" count="1">
            <x v="26"/>
          </reference>
          <reference field="18" count="1" selected="0">
            <x v="30"/>
          </reference>
        </references>
      </pivotArea>
    </format>
    <format dxfId="307">
      <pivotArea dataOnly="0" labelOnly="1" outline="0" fieldPosition="0">
        <references count="4">
          <reference field="9" count="1" selected="0">
            <x v="48"/>
          </reference>
          <reference field="10" count="1" selected="0">
            <x v="29"/>
          </reference>
          <reference field="14" count="1">
            <x v="11"/>
          </reference>
          <reference field="18" count="1" selected="0">
            <x v="3"/>
          </reference>
        </references>
      </pivotArea>
    </format>
    <format dxfId="306">
      <pivotArea dataOnly="0" labelOnly="1" outline="0" fieldPosition="0">
        <references count="4">
          <reference field="9" count="1" selected="0">
            <x v="48"/>
          </reference>
          <reference field="10" count="1" selected="0">
            <x v="29"/>
          </reference>
          <reference field="14" count="1">
            <x v="28"/>
          </reference>
          <reference field="18" count="1" selected="0">
            <x v="5"/>
          </reference>
        </references>
      </pivotArea>
    </format>
    <format dxfId="305">
      <pivotArea dataOnly="0" labelOnly="1" outline="0" fieldPosition="0">
        <references count="4">
          <reference field="9" count="1" selected="0">
            <x v="48"/>
          </reference>
          <reference field="10" count="1" selected="0">
            <x v="29"/>
          </reference>
          <reference field="14" count="1">
            <x v="10"/>
          </reference>
          <reference field="18" count="1" selected="0">
            <x v="7"/>
          </reference>
        </references>
      </pivotArea>
    </format>
    <format dxfId="304">
      <pivotArea dataOnly="0" labelOnly="1" outline="0" fieldPosition="0">
        <references count="4">
          <reference field="9" count="1" selected="0">
            <x v="48"/>
          </reference>
          <reference field="10" count="1" selected="0">
            <x v="29"/>
          </reference>
          <reference field="14" count="1">
            <x v="25"/>
          </reference>
          <reference field="18" count="1" selected="0">
            <x v="14"/>
          </reference>
        </references>
      </pivotArea>
    </format>
    <format dxfId="303">
      <pivotArea dataOnly="0" labelOnly="1" outline="0" fieldPosition="0">
        <references count="4">
          <reference field="9" count="1" selected="0">
            <x v="48"/>
          </reference>
          <reference field="10" count="1" selected="0">
            <x v="29"/>
          </reference>
          <reference field="14" count="1">
            <x v="19"/>
          </reference>
          <reference field="18" count="1" selected="0">
            <x v="16"/>
          </reference>
        </references>
      </pivotArea>
    </format>
    <format dxfId="302">
      <pivotArea dataOnly="0" labelOnly="1" outline="0" fieldPosition="0">
        <references count="4">
          <reference field="9" count="1" selected="0">
            <x v="48"/>
          </reference>
          <reference field="10" count="1" selected="0">
            <x v="29"/>
          </reference>
          <reference field="14" count="1">
            <x v="24"/>
          </reference>
          <reference field="18" count="1" selected="0">
            <x v="19"/>
          </reference>
        </references>
      </pivotArea>
    </format>
    <format dxfId="301">
      <pivotArea dataOnly="0" labelOnly="1" outline="0" fieldPosition="0">
        <references count="4">
          <reference field="9" count="1" selected="0">
            <x v="48"/>
          </reference>
          <reference field="10" count="1" selected="0">
            <x v="29"/>
          </reference>
          <reference field="14" count="1">
            <x v="22"/>
          </reference>
          <reference field="18" count="1" selected="0">
            <x v="25"/>
          </reference>
        </references>
      </pivotArea>
    </format>
    <format dxfId="300">
      <pivotArea dataOnly="0" labelOnly="1" outline="0" fieldPosition="0">
        <references count="4">
          <reference field="9" count="1" selected="0">
            <x v="48"/>
          </reference>
          <reference field="10" count="1" selected="0">
            <x v="29"/>
          </reference>
          <reference field="14" count="1">
            <x v="5"/>
          </reference>
          <reference field="18" count="1" selected="0">
            <x v="28"/>
          </reference>
        </references>
      </pivotArea>
    </format>
    <format dxfId="299">
      <pivotArea dataOnly="0" labelOnly="1" outline="0" fieldPosition="0">
        <references count="4">
          <reference field="9" count="1" selected="0">
            <x v="49"/>
          </reference>
          <reference field="10" count="1" selected="0">
            <x v="33"/>
          </reference>
          <reference field="14" count="1">
            <x v="7"/>
          </reference>
          <reference field="18" count="1" selected="0">
            <x v="22"/>
          </reference>
        </references>
      </pivotArea>
    </format>
    <format dxfId="298">
      <pivotArea dataOnly="0" labelOnly="1" outline="0" fieldPosition="0">
        <references count="4">
          <reference field="9" count="1" selected="0">
            <x v="50"/>
          </reference>
          <reference field="10" count="1" selected="0">
            <x v="37"/>
          </reference>
          <reference field="14" count="1">
            <x v="4"/>
          </reference>
          <reference field="18" count="1" selected="0">
            <x v="0"/>
          </reference>
        </references>
      </pivotArea>
    </format>
    <format dxfId="297">
      <pivotArea dataOnly="0" labelOnly="1" outline="0" fieldPosition="0">
        <references count="4">
          <reference field="9" count="1" selected="0">
            <x v="50"/>
          </reference>
          <reference field="10" count="1" selected="0">
            <x v="37"/>
          </reference>
          <reference field="14" count="1">
            <x v="17"/>
          </reference>
          <reference field="18" count="1" selected="0">
            <x v="11"/>
          </reference>
        </references>
      </pivotArea>
    </format>
    <format dxfId="296">
      <pivotArea dataOnly="0" labelOnly="1" outline="0" fieldPosition="0">
        <references count="4">
          <reference field="9" count="1" selected="0">
            <x v="50"/>
          </reference>
          <reference field="10" count="1" selected="0">
            <x v="37"/>
          </reference>
          <reference field="14" count="1">
            <x v="18"/>
          </reference>
          <reference field="18" count="1" selected="0">
            <x v="13"/>
          </reference>
        </references>
      </pivotArea>
    </format>
    <format dxfId="295">
      <pivotArea dataOnly="0" labelOnly="1" outline="0" fieldPosition="0">
        <references count="4">
          <reference field="9" count="1" selected="0">
            <x v="50"/>
          </reference>
          <reference field="10" count="1" selected="0">
            <x v="37"/>
          </reference>
          <reference field="14" count="1">
            <x v="21"/>
          </reference>
          <reference field="18" count="1" selected="0">
            <x v="27"/>
          </reference>
        </references>
      </pivotArea>
    </format>
    <format dxfId="294">
      <pivotArea dataOnly="0" labelOnly="1" outline="0" fieldPosition="0">
        <references count="4">
          <reference field="9" count="1" selected="0">
            <x v="50"/>
          </reference>
          <reference field="10" count="1" selected="0">
            <x v="37"/>
          </reference>
          <reference field="14" count="1">
            <x v="29"/>
          </reference>
          <reference field="18" count="1" selected="0">
            <x v="29"/>
          </reference>
        </references>
      </pivotArea>
    </format>
    <format dxfId="293">
      <pivotArea dataOnly="0" labelOnly="1" outline="0" fieldPosition="0">
        <references count="4">
          <reference field="9" count="1" selected="0">
            <x v="51"/>
          </reference>
          <reference field="10" count="1" selected="0">
            <x v="41"/>
          </reference>
          <reference field="14" count="1">
            <x v="1"/>
          </reference>
          <reference field="18" count="1" selected="0">
            <x v="1"/>
          </reference>
        </references>
      </pivotArea>
    </format>
    <format dxfId="292">
      <pivotArea dataOnly="0" labelOnly="1" outline="0" fieldPosition="0">
        <references count="4">
          <reference field="9" count="1" selected="0">
            <x v="51"/>
          </reference>
          <reference field="10" count="1" selected="0">
            <x v="41"/>
          </reference>
          <reference field="14" count="1">
            <x v="11"/>
          </reference>
          <reference field="18" count="1" selected="0">
            <x v="3"/>
          </reference>
        </references>
      </pivotArea>
    </format>
    <format dxfId="291">
      <pivotArea dataOnly="0" labelOnly="1" outline="0" fieldPosition="0">
        <references count="4">
          <reference field="9" count="1" selected="0">
            <x v="51"/>
          </reference>
          <reference field="10" count="1" selected="0">
            <x v="41"/>
          </reference>
          <reference field="14" count="1">
            <x v="10"/>
          </reference>
          <reference field="18" count="1" selected="0">
            <x v="7"/>
          </reference>
        </references>
      </pivotArea>
    </format>
    <format dxfId="290">
      <pivotArea dataOnly="0" labelOnly="1" outline="0" fieldPosition="0">
        <references count="4">
          <reference field="9" count="1" selected="0">
            <x v="51"/>
          </reference>
          <reference field="10" count="1" selected="0">
            <x v="41"/>
          </reference>
          <reference field="14" count="1">
            <x v="8"/>
          </reference>
          <reference field="18" count="1" selected="0">
            <x v="9"/>
          </reference>
        </references>
      </pivotArea>
    </format>
    <format dxfId="289">
      <pivotArea dataOnly="0" labelOnly="1" outline="0" fieldPosition="0">
        <references count="4">
          <reference field="9" count="1" selected="0">
            <x v="51"/>
          </reference>
          <reference field="10" count="1" selected="0">
            <x v="41"/>
          </reference>
          <reference field="14" count="1">
            <x v="16"/>
          </reference>
          <reference field="18" count="1" selected="0">
            <x v="12"/>
          </reference>
        </references>
      </pivotArea>
    </format>
    <format dxfId="288">
      <pivotArea dataOnly="0" labelOnly="1" outline="0" fieldPosition="0">
        <references count="4">
          <reference field="9" count="1" selected="0">
            <x v="51"/>
          </reference>
          <reference field="10" count="1" selected="0">
            <x v="41"/>
          </reference>
          <reference field="14" count="1">
            <x v="14"/>
          </reference>
          <reference field="18" count="1" selected="0">
            <x v="18"/>
          </reference>
        </references>
      </pivotArea>
    </format>
    <format dxfId="287">
      <pivotArea dataOnly="0" labelOnly="1" outline="0" fieldPosition="0">
        <references count="4">
          <reference field="9" count="1" selected="0">
            <x v="51"/>
          </reference>
          <reference field="10" count="1" selected="0">
            <x v="41"/>
          </reference>
          <reference field="14" count="1">
            <x v="22"/>
          </reference>
          <reference field="18" count="1" selected="0">
            <x v="25"/>
          </reference>
        </references>
      </pivotArea>
    </format>
    <format dxfId="286">
      <pivotArea dataOnly="0" labelOnly="1" outline="0" fieldPosition="0">
        <references count="4">
          <reference field="9" count="1" selected="0">
            <x v="51"/>
          </reference>
          <reference field="10" count="1" selected="0">
            <x v="41"/>
          </reference>
          <reference field="14" count="1">
            <x v="5"/>
          </reference>
          <reference field="18" count="1" selected="0">
            <x v="28"/>
          </reference>
        </references>
      </pivotArea>
    </format>
    <format dxfId="285">
      <pivotArea dataOnly="0" labelOnly="1" outline="0" fieldPosition="0">
        <references count="4">
          <reference field="9" count="1" selected="0">
            <x v="52"/>
          </reference>
          <reference field="10" count="1" selected="0">
            <x v="45"/>
          </reference>
          <reference field="14" count="1">
            <x v="27"/>
          </reference>
          <reference field="18" count="1" selected="0">
            <x v="6"/>
          </reference>
        </references>
      </pivotArea>
    </format>
    <format dxfId="284">
      <pivotArea dataOnly="0" labelOnly="1" outline="0" fieldPosition="0">
        <references count="4">
          <reference field="9" count="1" selected="0">
            <x v="52"/>
          </reference>
          <reference field="10" count="1" selected="0">
            <x v="45"/>
          </reference>
          <reference field="14" count="1">
            <x v="7"/>
          </reference>
          <reference field="18" count="1" selected="0">
            <x v="22"/>
          </reference>
        </references>
      </pivotArea>
    </format>
    <format dxfId="283">
      <pivotArea dataOnly="0" labelOnly="1" outline="0" fieldPosition="0">
        <references count="4">
          <reference field="9" count="1" selected="0">
            <x v="53"/>
          </reference>
          <reference field="10" count="1" selected="0">
            <x v="49"/>
          </reference>
          <reference field="14" count="1">
            <x v="27"/>
          </reference>
          <reference field="18" count="1" selected="0">
            <x v="6"/>
          </reference>
        </references>
      </pivotArea>
    </format>
    <format dxfId="282">
      <pivotArea dataOnly="0" labelOnly="1" outline="0" fieldPosition="0">
        <references count="4">
          <reference field="9" count="1" selected="0">
            <x v="54"/>
          </reference>
          <reference field="10" count="1" selected="0">
            <x v="4"/>
          </reference>
          <reference field="14" count="1">
            <x v="15"/>
          </reference>
          <reference field="18" count="1" selected="0">
            <x v="15"/>
          </reference>
        </references>
      </pivotArea>
    </format>
    <format dxfId="281">
      <pivotArea dataOnly="0" labelOnly="1" outline="0" fieldPosition="0">
        <references count="4">
          <reference field="9" count="1" selected="0">
            <x v="55"/>
          </reference>
          <reference field="10" count="1" selected="0">
            <x v="5"/>
          </reference>
          <reference field="14" count="1">
            <x v="11"/>
          </reference>
          <reference field="18" count="1" selected="0">
            <x v="3"/>
          </reference>
        </references>
      </pivotArea>
    </format>
    <format dxfId="280">
      <pivotArea dataOnly="0" labelOnly="1" outline="0" fieldPosition="0">
        <references count="4">
          <reference field="9" count="1" selected="0">
            <x v="55"/>
          </reference>
          <reference field="10" count="1" selected="0">
            <x v="5"/>
          </reference>
          <reference field="14" count="1">
            <x v="28"/>
          </reference>
          <reference field="18" count="1" selected="0">
            <x v="5"/>
          </reference>
        </references>
      </pivotArea>
    </format>
    <format dxfId="279">
      <pivotArea dataOnly="0" labelOnly="1" outline="0" fieldPosition="0">
        <references count="4">
          <reference field="9" count="1" selected="0">
            <x v="55"/>
          </reference>
          <reference field="10" count="1" selected="0">
            <x v="5"/>
          </reference>
          <reference field="14" count="1">
            <x v="27"/>
          </reference>
          <reference field="18" count="1" selected="0">
            <x v="6"/>
          </reference>
        </references>
      </pivotArea>
    </format>
    <format dxfId="278">
      <pivotArea dataOnly="0" labelOnly="1" outline="0" fieldPosition="0">
        <references count="4">
          <reference field="9" count="1" selected="0">
            <x v="55"/>
          </reference>
          <reference field="10" count="1" selected="0">
            <x v="5"/>
          </reference>
          <reference field="14" count="1">
            <x v="10"/>
          </reference>
          <reference field="18" count="1" selected="0">
            <x v="7"/>
          </reference>
        </references>
      </pivotArea>
    </format>
    <format dxfId="277">
      <pivotArea dataOnly="0" labelOnly="1" outline="0" fieldPosition="0">
        <references count="4">
          <reference field="9" count="1" selected="0">
            <x v="55"/>
          </reference>
          <reference field="10" count="1" selected="0">
            <x v="5"/>
          </reference>
          <reference field="14" count="1">
            <x v="17"/>
          </reference>
          <reference field="18" count="1" selected="0">
            <x v="11"/>
          </reference>
        </references>
      </pivotArea>
    </format>
    <format dxfId="276">
      <pivotArea dataOnly="0" labelOnly="1" outline="0" fieldPosition="0">
        <references count="4">
          <reference field="9" count="1" selected="0">
            <x v="55"/>
          </reference>
          <reference field="10" count="1" selected="0">
            <x v="5"/>
          </reference>
          <reference field="14" count="1">
            <x v="18"/>
          </reference>
          <reference field="18" count="1" selected="0">
            <x v="13"/>
          </reference>
        </references>
      </pivotArea>
    </format>
    <format dxfId="275">
      <pivotArea dataOnly="0" labelOnly="1" outline="0" fieldPosition="0">
        <references count="4">
          <reference field="9" count="1" selected="0">
            <x v="55"/>
          </reference>
          <reference field="10" count="1" selected="0">
            <x v="5"/>
          </reference>
          <reference field="14" count="1">
            <x v="24"/>
          </reference>
          <reference field="18" count="1" selected="0">
            <x v="19"/>
          </reference>
        </references>
      </pivotArea>
    </format>
    <format dxfId="274">
      <pivotArea dataOnly="0" labelOnly="1" outline="0" fieldPosition="0">
        <references count="4">
          <reference field="9" count="1" selected="0">
            <x v="55"/>
          </reference>
          <reference field="10" count="1" selected="0">
            <x v="5"/>
          </reference>
          <reference field="14" count="1">
            <x v="12"/>
          </reference>
          <reference field="18" count="1" selected="0">
            <x v="21"/>
          </reference>
        </references>
      </pivotArea>
    </format>
    <format dxfId="273">
      <pivotArea dataOnly="0" labelOnly="1" outline="0" fieldPosition="0">
        <references count="4">
          <reference field="9" count="1" selected="0">
            <x v="55"/>
          </reference>
          <reference field="10" count="1" selected="0">
            <x v="5"/>
          </reference>
          <reference field="14" count="1">
            <x v="21"/>
          </reference>
          <reference field="18" count="1" selected="0">
            <x v="27"/>
          </reference>
        </references>
      </pivotArea>
    </format>
    <format dxfId="272">
      <pivotArea dataOnly="0" labelOnly="1" outline="0" fieldPosition="0">
        <references count="4">
          <reference field="9" count="1" selected="0">
            <x v="56"/>
          </reference>
          <reference field="10" count="1" selected="0">
            <x v="6"/>
          </reference>
          <reference field="14" count="1">
            <x v="11"/>
          </reference>
          <reference field="18" count="1" selected="0">
            <x v="3"/>
          </reference>
        </references>
      </pivotArea>
    </format>
    <format dxfId="271">
      <pivotArea dataOnly="0" labelOnly="1" outline="0" fieldPosition="0">
        <references count="4">
          <reference field="9" count="1" selected="0">
            <x v="56"/>
          </reference>
          <reference field="10" count="1" selected="0">
            <x v="6"/>
          </reference>
          <reference field="14" count="1">
            <x v="28"/>
          </reference>
          <reference field="18" count="1" selected="0">
            <x v="5"/>
          </reference>
        </references>
      </pivotArea>
    </format>
    <format dxfId="270">
      <pivotArea dataOnly="0" labelOnly="1" outline="0" fieldPosition="0">
        <references count="4">
          <reference field="9" count="1" selected="0">
            <x v="56"/>
          </reference>
          <reference field="10" count="1" selected="0">
            <x v="6"/>
          </reference>
          <reference field="14" count="1">
            <x v="27"/>
          </reference>
          <reference field="18" count="1" selected="0">
            <x v="6"/>
          </reference>
        </references>
      </pivotArea>
    </format>
    <format dxfId="269">
      <pivotArea dataOnly="0" labelOnly="1" outline="0" fieldPosition="0">
        <references count="4">
          <reference field="9" count="1" selected="0">
            <x v="56"/>
          </reference>
          <reference field="10" count="1" selected="0">
            <x v="6"/>
          </reference>
          <reference field="14" count="1">
            <x v="10"/>
          </reference>
          <reference field="18" count="1" selected="0">
            <x v="7"/>
          </reference>
        </references>
      </pivotArea>
    </format>
    <format dxfId="268">
      <pivotArea dataOnly="0" labelOnly="1" outline="0" fieldPosition="0">
        <references count="4">
          <reference field="9" count="1" selected="0">
            <x v="56"/>
          </reference>
          <reference field="10" count="1" selected="0">
            <x v="6"/>
          </reference>
          <reference field="14" count="1">
            <x v="9"/>
          </reference>
          <reference field="18" count="1" selected="0">
            <x v="8"/>
          </reference>
        </references>
      </pivotArea>
    </format>
    <format dxfId="267">
      <pivotArea dataOnly="0" labelOnly="1" outline="0" fieldPosition="0">
        <references count="4">
          <reference field="9" count="1" selected="0">
            <x v="56"/>
          </reference>
          <reference field="10" count="1" selected="0">
            <x v="6"/>
          </reference>
          <reference field="14" count="1">
            <x v="17"/>
          </reference>
          <reference field="18" count="1" selected="0">
            <x v="11"/>
          </reference>
        </references>
      </pivotArea>
    </format>
    <format dxfId="266">
      <pivotArea dataOnly="0" labelOnly="1" outline="0" fieldPosition="0">
        <references count="4">
          <reference field="9" count="1" selected="0">
            <x v="56"/>
          </reference>
          <reference field="10" count="1" selected="0">
            <x v="6"/>
          </reference>
          <reference field="14" count="1">
            <x v="18"/>
          </reference>
          <reference field="18" count="1" selected="0">
            <x v="13"/>
          </reference>
        </references>
      </pivotArea>
    </format>
    <format dxfId="265">
      <pivotArea dataOnly="0" labelOnly="1" outline="0" fieldPosition="0">
        <references count="4">
          <reference field="9" count="1" selected="0">
            <x v="56"/>
          </reference>
          <reference field="10" count="1" selected="0">
            <x v="6"/>
          </reference>
          <reference field="14" count="1">
            <x v="7"/>
          </reference>
          <reference field="18" count="1" selected="0">
            <x v="22"/>
          </reference>
        </references>
      </pivotArea>
    </format>
    <format dxfId="264">
      <pivotArea dataOnly="0" labelOnly="1" outline="0" fieldPosition="0">
        <references count="4">
          <reference field="9" count="1" selected="0">
            <x v="56"/>
          </reference>
          <reference field="10" count="1" selected="0">
            <x v="6"/>
          </reference>
          <reference field="14" count="1">
            <x v="21"/>
          </reference>
          <reference field="18" count="1" selected="0">
            <x v="27"/>
          </reference>
        </references>
      </pivotArea>
    </format>
    <format dxfId="263">
      <pivotArea dataOnly="0" labelOnly="1" outline="0" fieldPosition="0">
        <references count="4">
          <reference field="9" count="1" selected="0">
            <x v="57"/>
          </reference>
          <reference field="10" count="1" selected="0">
            <x v="7"/>
          </reference>
          <reference field="14" count="1">
            <x v="11"/>
          </reference>
          <reference field="18" count="1" selected="0">
            <x v="3"/>
          </reference>
        </references>
      </pivotArea>
    </format>
    <format dxfId="262">
      <pivotArea dataOnly="0" labelOnly="1" outline="0" fieldPosition="0">
        <references count="4">
          <reference field="9" count="1" selected="0">
            <x v="57"/>
          </reference>
          <reference field="10" count="1" selected="0">
            <x v="7"/>
          </reference>
          <reference field="14" count="1">
            <x v="28"/>
          </reference>
          <reference field="18" count="1" selected="0">
            <x v="5"/>
          </reference>
        </references>
      </pivotArea>
    </format>
    <format dxfId="261">
      <pivotArea dataOnly="0" labelOnly="1" outline="0" fieldPosition="0">
        <references count="4">
          <reference field="9" count="1" selected="0">
            <x v="57"/>
          </reference>
          <reference field="10" count="1" selected="0">
            <x v="7"/>
          </reference>
          <reference field="14" count="1">
            <x v="27"/>
          </reference>
          <reference field="18" count="1" selected="0">
            <x v="6"/>
          </reference>
        </references>
      </pivotArea>
    </format>
    <format dxfId="260">
      <pivotArea dataOnly="0" labelOnly="1" outline="0" fieldPosition="0">
        <references count="4">
          <reference field="9" count="1" selected="0">
            <x v="57"/>
          </reference>
          <reference field="10" count="1" selected="0">
            <x v="7"/>
          </reference>
          <reference field="14" count="1">
            <x v="10"/>
          </reference>
          <reference field="18" count="1" selected="0">
            <x v="7"/>
          </reference>
        </references>
      </pivotArea>
    </format>
    <format dxfId="259">
      <pivotArea dataOnly="0" labelOnly="1" outline="0" fieldPosition="0">
        <references count="4">
          <reference field="9" count="1" selected="0">
            <x v="57"/>
          </reference>
          <reference field="10" count="1" selected="0">
            <x v="7"/>
          </reference>
          <reference field="14" count="1">
            <x v="17"/>
          </reference>
          <reference field="18" count="1" selected="0">
            <x v="11"/>
          </reference>
        </references>
      </pivotArea>
    </format>
    <format dxfId="258">
      <pivotArea dataOnly="0" labelOnly="1" outline="0" fieldPosition="0">
        <references count="4">
          <reference field="9" count="1" selected="0">
            <x v="57"/>
          </reference>
          <reference field="10" count="1" selected="0">
            <x v="7"/>
          </reference>
          <reference field="14" count="1">
            <x v="18"/>
          </reference>
          <reference field="18" count="1" selected="0">
            <x v="13"/>
          </reference>
        </references>
      </pivotArea>
    </format>
    <format dxfId="257">
      <pivotArea dataOnly="0" labelOnly="1" outline="0" fieldPosition="0">
        <references count="4">
          <reference field="9" count="1" selected="0">
            <x v="57"/>
          </reference>
          <reference field="10" count="1" selected="0">
            <x v="7"/>
          </reference>
          <reference field="14" count="1">
            <x v="15"/>
          </reference>
          <reference field="18" count="1" selected="0">
            <x v="15"/>
          </reference>
        </references>
      </pivotArea>
    </format>
    <format dxfId="256">
      <pivotArea dataOnly="0" labelOnly="1" outline="0" fieldPosition="0">
        <references count="4">
          <reference field="9" count="1" selected="0">
            <x v="57"/>
          </reference>
          <reference field="10" count="1" selected="0">
            <x v="7"/>
          </reference>
          <reference field="14" count="1">
            <x v="19"/>
          </reference>
          <reference field="18" count="1" selected="0">
            <x v="16"/>
          </reference>
        </references>
      </pivotArea>
    </format>
    <format dxfId="255">
      <pivotArea dataOnly="0" labelOnly="1" outline="0" fieldPosition="0">
        <references count="4">
          <reference field="9" count="1" selected="0">
            <x v="57"/>
          </reference>
          <reference field="10" count="1" selected="0">
            <x v="7"/>
          </reference>
          <reference field="14" count="1">
            <x v="7"/>
          </reference>
          <reference field="18" count="1" selected="0">
            <x v="22"/>
          </reference>
        </references>
      </pivotArea>
    </format>
    <format dxfId="254">
      <pivotArea dataOnly="0" labelOnly="1" outline="0" fieldPosition="0">
        <references count="4">
          <reference field="9" count="1" selected="0">
            <x v="57"/>
          </reference>
          <reference field="10" count="1" selected="0">
            <x v="7"/>
          </reference>
          <reference field="14" count="1">
            <x v="21"/>
          </reference>
          <reference field="18" count="1" selected="0">
            <x v="27"/>
          </reference>
        </references>
      </pivotArea>
    </format>
    <format dxfId="253">
      <pivotArea dataOnly="0" labelOnly="1" outline="0" fieldPosition="0">
        <references count="4">
          <reference field="9" count="1" selected="0">
            <x v="58"/>
          </reference>
          <reference field="10" count="1" selected="0">
            <x v="0"/>
          </reference>
          <reference field="14" count="1">
            <x v="4"/>
          </reference>
          <reference field="18" count="1" selected="0">
            <x v="0"/>
          </reference>
        </references>
      </pivotArea>
    </format>
    <format dxfId="252">
      <pivotArea dataOnly="0" labelOnly="1" outline="0" fieldPosition="0">
        <references count="4">
          <reference field="9" count="1" selected="0">
            <x v="58"/>
          </reference>
          <reference field="10" count="1" selected="0">
            <x v="0"/>
          </reference>
          <reference field="14" count="1">
            <x v="11"/>
          </reference>
          <reference field="18" count="1" selected="0">
            <x v="3"/>
          </reference>
        </references>
      </pivotArea>
    </format>
    <format dxfId="251">
      <pivotArea dataOnly="0" labelOnly="1" outline="0" fieldPosition="0">
        <references count="4">
          <reference field="9" count="1" selected="0">
            <x v="58"/>
          </reference>
          <reference field="10" count="1" selected="0">
            <x v="0"/>
          </reference>
          <reference field="14" count="1">
            <x v="28"/>
          </reference>
          <reference field="18" count="1" selected="0">
            <x v="5"/>
          </reference>
        </references>
      </pivotArea>
    </format>
    <format dxfId="250">
      <pivotArea dataOnly="0" labelOnly="1" outline="0" fieldPosition="0">
        <references count="4">
          <reference field="9" count="1" selected="0">
            <x v="58"/>
          </reference>
          <reference field="10" count="1" selected="0">
            <x v="0"/>
          </reference>
          <reference field="14" count="1">
            <x v="9"/>
          </reference>
          <reference field="18" count="1" selected="0">
            <x v="8"/>
          </reference>
        </references>
      </pivotArea>
    </format>
    <format dxfId="249">
      <pivotArea dataOnly="0" labelOnly="1" outline="0" fieldPosition="0">
        <references count="4">
          <reference field="9" count="1" selected="0">
            <x v="58"/>
          </reference>
          <reference field="10" count="1" selected="0">
            <x v="0"/>
          </reference>
          <reference field="14" count="1">
            <x v="8"/>
          </reference>
          <reference field="18" count="1" selected="0">
            <x v="9"/>
          </reference>
        </references>
      </pivotArea>
    </format>
    <format dxfId="248">
      <pivotArea dataOnly="0" labelOnly="1" outline="0" fieldPosition="0">
        <references count="4">
          <reference field="9" count="1" selected="0">
            <x v="58"/>
          </reference>
          <reference field="10" count="1" selected="0">
            <x v="0"/>
          </reference>
          <reference field="14" count="1">
            <x v="16"/>
          </reference>
          <reference field="18" count="1" selected="0">
            <x v="12"/>
          </reference>
        </references>
      </pivotArea>
    </format>
    <format dxfId="247">
      <pivotArea dataOnly="0" labelOnly="1" outline="0" fieldPosition="0">
        <references count="4">
          <reference field="9" count="1" selected="0">
            <x v="58"/>
          </reference>
          <reference field="10" count="1" selected="0">
            <x v="0"/>
          </reference>
          <reference field="14" count="1">
            <x v="14"/>
          </reference>
          <reference field="18" count="1" selected="0">
            <x v="18"/>
          </reference>
        </references>
      </pivotArea>
    </format>
    <format dxfId="246">
      <pivotArea dataOnly="0" labelOnly="1" outline="0" fieldPosition="0">
        <references count="4">
          <reference field="9" count="1" selected="0">
            <x v="58"/>
          </reference>
          <reference field="10" count="1" selected="0">
            <x v="0"/>
          </reference>
          <reference field="14" count="1">
            <x v="24"/>
          </reference>
          <reference field="18" count="1" selected="0">
            <x v="19"/>
          </reference>
        </references>
      </pivotArea>
    </format>
    <format dxfId="245">
      <pivotArea dataOnly="0" labelOnly="1" outline="0" fieldPosition="0">
        <references count="4">
          <reference field="9" count="1" selected="0">
            <x v="58"/>
          </reference>
          <reference field="10" count="1" selected="0">
            <x v="0"/>
          </reference>
          <reference field="14" count="1">
            <x v="7"/>
          </reference>
          <reference field="18" count="1" selected="0">
            <x v="22"/>
          </reference>
        </references>
      </pivotArea>
    </format>
    <format dxfId="244">
      <pivotArea dataOnly="0" labelOnly="1" outline="0" fieldPosition="0">
        <references count="4">
          <reference field="9" count="1" selected="0">
            <x v="58"/>
          </reference>
          <reference field="10" count="1" selected="0">
            <x v="0"/>
          </reference>
          <reference field="14" count="1">
            <x v="22"/>
          </reference>
          <reference field="18" count="1" selected="0">
            <x v="25"/>
          </reference>
        </references>
      </pivotArea>
    </format>
    <format dxfId="243">
      <pivotArea dataOnly="0" labelOnly="1" outline="0" fieldPosition="0">
        <references count="4">
          <reference field="9" count="1" selected="0">
            <x v="58"/>
          </reference>
          <reference field="10" count="1" selected="0">
            <x v="0"/>
          </reference>
          <reference field="14" count="1">
            <x v="5"/>
          </reference>
          <reference field="18" count="1" selected="0">
            <x v="28"/>
          </reference>
        </references>
      </pivotArea>
    </format>
    <format dxfId="242">
      <pivotArea dataOnly="0" labelOnly="1" outline="0" fieldPosition="0">
        <references count="4">
          <reference field="9" count="1" selected="0">
            <x v="59"/>
          </reference>
          <reference field="10" count="1" selected="0">
            <x v="1"/>
          </reference>
          <reference field="14" count="1">
            <x v="11"/>
          </reference>
          <reference field="18" count="1" selected="0">
            <x v="3"/>
          </reference>
        </references>
      </pivotArea>
    </format>
    <format dxfId="241">
      <pivotArea dataOnly="0" labelOnly="1" outline="0" fieldPosition="0">
        <references count="4">
          <reference field="9" count="1" selected="0">
            <x v="59"/>
          </reference>
          <reference field="10" count="1" selected="0">
            <x v="1"/>
          </reference>
          <reference field="14" count="1">
            <x v="6"/>
          </reference>
          <reference field="18" count="1" selected="0">
            <x v="4"/>
          </reference>
        </references>
      </pivotArea>
    </format>
    <format dxfId="240">
      <pivotArea dataOnly="0" labelOnly="1" outline="0" fieldPosition="0">
        <references count="4">
          <reference field="9" count="1" selected="0">
            <x v="59"/>
          </reference>
          <reference field="10" count="1" selected="0">
            <x v="1"/>
          </reference>
          <reference field="14" count="1">
            <x v="9"/>
          </reference>
          <reference field="18" count="1" selected="0">
            <x v="8"/>
          </reference>
        </references>
      </pivotArea>
    </format>
    <format dxfId="239">
      <pivotArea dataOnly="0" labelOnly="1" outline="0" fieldPosition="0">
        <references count="4">
          <reference field="9" count="1" selected="0">
            <x v="59"/>
          </reference>
          <reference field="10" count="1" selected="0">
            <x v="1"/>
          </reference>
          <reference field="14" count="1">
            <x v="8"/>
          </reference>
          <reference field="18" count="1" selected="0">
            <x v="9"/>
          </reference>
        </references>
      </pivotArea>
    </format>
    <format dxfId="238">
      <pivotArea dataOnly="0" labelOnly="1" outline="0" fieldPosition="0">
        <references count="4">
          <reference field="9" count="1" selected="0">
            <x v="59"/>
          </reference>
          <reference field="10" count="1" selected="0">
            <x v="1"/>
          </reference>
          <reference field="14" count="1">
            <x v="16"/>
          </reference>
          <reference field="18" count="1" selected="0">
            <x v="12"/>
          </reference>
        </references>
      </pivotArea>
    </format>
    <format dxfId="237">
      <pivotArea dataOnly="0" labelOnly="1" outline="0" fieldPosition="0">
        <references count="4">
          <reference field="9" count="1" selected="0">
            <x v="59"/>
          </reference>
          <reference field="10" count="1" selected="0">
            <x v="1"/>
          </reference>
          <reference field="14" count="1">
            <x v="24"/>
          </reference>
          <reference field="18" count="1" selected="0">
            <x v="19"/>
          </reference>
        </references>
      </pivotArea>
    </format>
    <format dxfId="236">
      <pivotArea dataOnly="0" labelOnly="1" outline="0" fieldPosition="0">
        <references count="4">
          <reference field="9" count="1" selected="0">
            <x v="59"/>
          </reference>
          <reference field="10" count="1" selected="0">
            <x v="1"/>
          </reference>
          <reference field="14" count="1">
            <x v="7"/>
          </reference>
          <reference field="18" count="1" selected="0">
            <x v="22"/>
          </reference>
        </references>
      </pivotArea>
    </format>
    <format dxfId="235">
      <pivotArea dataOnly="0" labelOnly="1" outline="0" fieldPosition="0">
        <references count="4">
          <reference field="9" count="1" selected="0">
            <x v="59"/>
          </reference>
          <reference field="10" count="1" selected="0">
            <x v="1"/>
          </reference>
          <reference field="14" count="1">
            <x v="5"/>
          </reference>
          <reference field="18" count="1" selected="0">
            <x v="28"/>
          </reference>
        </references>
      </pivotArea>
    </format>
    <format dxfId="234">
      <pivotArea dataOnly="0" labelOnly="1" outline="0" fieldPosition="0">
        <references count="4">
          <reference field="9" count="1" selected="0">
            <x v="59"/>
          </reference>
          <reference field="10" count="1" selected="0">
            <x v="1"/>
          </reference>
          <reference field="14" count="1">
            <x v="26"/>
          </reference>
          <reference field="18" count="1" selected="0">
            <x v="30"/>
          </reference>
        </references>
      </pivotArea>
    </format>
    <format dxfId="233">
      <pivotArea dataOnly="0" labelOnly="1" outline="0" fieldPosition="0">
        <references count="4">
          <reference field="9" count="1" selected="0">
            <x v="60"/>
          </reference>
          <reference field="10" count="1" selected="0">
            <x v="2"/>
          </reference>
          <reference field="14" count="1">
            <x v="6"/>
          </reference>
          <reference field="18" count="1" selected="0">
            <x v="4"/>
          </reference>
        </references>
      </pivotArea>
    </format>
    <format dxfId="232">
      <pivotArea dataOnly="0" labelOnly="1" outline="0" fieldPosition="0">
        <references count="4">
          <reference field="9" count="1" selected="0">
            <x v="60"/>
          </reference>
          <reference field="10" count="1" selected="0">
            <x v="2"/>
          </reference>
          <reference field="14" count="1">
            <x v="28"/>
          </reference>
          <reference field="18" count="1" selected="0">
            <x v="5"/>
          </reference>
        </references>
      </pivotArea>
    </format>
    <format dxfId="231">
      <pivotArea dataOnly="0" labelOnly="1" outline="0" fieldPosition="0">
        <references count="4">
          <reference field="9" count="1" selected="0">
            <x v="60"/>
          </reference>
          <reference field="10" count="1" selected="0">
            <x v="2"/>
          </reference>
          <reference field="14" count="1">
            <x v="27"/>
          </reference>
          <reference field="18" count="1" selected="0">
            <x v="6"/>
          </reference>
        </references>
      </pivotArea>
    </format>
    <format dxfId="230">
      <pivotArea dataOnly="0" labelOnly="1" outline="0" fieldPosition="0">
        <references count="4">
          <reference field="9" count="1" selected="0">
            <x v="60"/>
          </reference>
          <reference field="10" count="1" selected="0">
            <x v="2"/>
          </reference>
          <reference field="14" count="1">
            <x v="9"/>
          </reference>
          <reference field="18" count="1" selected="0">
            <x v="8"/>
          </reference>
        </references>
      </pivotArea>
    </format>
    <format dxfId="229">
      <pivotArea dataOnly="0" labelOnly="1" outline="0" fieldPosition="0">
        <references count="4">
          <reference field="9" count="1" selected="0">
            <x v="60"/>
          </reference>
          <reference field="10" count="1" selected="0">
            <x v="2"/>
          </reference>
          <reference field="14" count="1">
            <x v="16"/>
          </reference>
          <reference field="18" count="1" selected="0">
            <x v="12"/>
          </reference>
        </references>
      </pivotArea>
    </format>
    <format dxfId="228">
      <pivotArea dataOnly="0" labelOnly="1" outline="0" fieldPosition="0">
        <references count="4">
          <reference field="9" count="1" selected="0">
            <x v="60"/>
          </reference>
          <reference field="10" count="1" selected="0">
            <x v="2"/>
          </reference>
          <reference field="14" count="1">
            <x v="24"/>
          </reference>
          <reference field="18" count="1" selected="0">
            <x v="19"/>
          </reference>
        </references>
      </pivotArea>
    </format>
    <format dxfId="227">
      <pivotArea dataOnly="0" labelOnly="1" outline="0" fieldPosition="0">
        <references count="4">
          <reference field="9" count="1" selected="0">
            <x v="60"/>
          </reference>
          <reference field="10" count="1" selected="0">
            <x v="2"/>
          </reference>
          <reference field="14" count="1">
            <x v="7"/>
          </reference>
          <reference field="18" count="1" selected="0">
            <x v="22"/>
          </reference>
        </references>
      </pivotArea>
    </format>
    <format dxfId="226">
      <pivotArea dataOnly="0" labelOnly="1" outline="0" fieldPosition="0">
        <references count="4">
          <reference field="9" count="1" selected="0">
            <x v="60"/>
          </reference>
          <reference field="10" count="1" selected="0">
            <x v="2"/>
          </reference>
          <reference field="14" count="1">
            <x v="22"/>
          </reference>
          <reference field="18" count="1" selected="0">
            <x v="25"/>
          </reference>
        </references>
      </pivotArea>
    </format>
    <format dxfId="225">
      <pivotArea dataOnly="0" labelOnly="1" outline="0" fieldPosition="0">
        <references count="4">
          <reference field="9" count="1" selected="0">
            <x v="60"/>
          </reference>
          <reference field="10" count="1" selected="0">
            <x v="2"/>
          </reference>
          <reference field="14" count="1">
            <x v="5"/>
          </reference>
          <reference field="18" count="1" selected="0">
            <x v="28"/>
          </reference>
        </references>
      </pivotArea>
    </format>
    <format dxfId="224">
      <pivotArea dataOnly="0" labelOnly="1" outline="0" fieldPosition="0">
        <references count="4">
          <reference field="9" count="1" selected="0">
            <x v="61"/>
          </reference>
          <reference field="10" count="1" selected="0">
            <x v="3"/>
          </reference>
          <reference field="14" count="1">
            <x v="4"/>
          </reference>
          <reference field="18" count="1" selected="0">
            <x v="0"/>
          </reference>
        </references>
      </pivotArea>
    </format>
    <format dxfId="223">
      <pivotArea dataOnly="0" labelOnly="1" outline="0" fieldPosition="0">
        <references count="4">
          <reference field="9" count="1" selected="0">
            <x v="61"/>
          </reference>
          <reference field="10" count="1" selected="0">
            <x v="3"/>
          </reference>
          <reference field="14" count="1">
            <x v="11"/>
          </reference>
          <reference field="18" count="1" selected="0">
            <x v="3"/>
          </reference>
        </references>
      </pivotArea>
    </format>
    <format dxfId="222">
      <pivotArea dataOnly="0" labelOnly="1" outline="0" fieldPosition="0">
        <references count="4">
          <reference field="9" count="1" selected="0">
            <x v="61"/>
          </reference>
          <reference field="10" count="1" selected="0">
            <x v="3"/>
          </reference>
          <reference field="14" count="1">
            <x v="6"/>
          </reference>
          <reference field="18" count="1" selected="0">
            <x v="4"/>
          </reference>
        </references>
      </pivotArea>
    </format>
    <format dxfId="221">
      <pivotArea dataOnly="0" labelOnly="1" outline="0" fieldPosition="0">
        <references count="4">
          <reference field="9" count="1" selected="0">
            <x v="61"/>
          </reference>
          <reference field="10" count="1" selected="0">
            <x v="3"/>
          </reference>
          <reference field="14" count="1">
            <x v="9"/>
          </reference>
          <reference field="18" count="1" selected="0">
            <x v="8"/>
          </reference>
        </references>
      </pivotArea>
    </format>
    <format dxfId="220">
      <pivotArea dataOnly="0" labelOnly="1" outline="0" fieldPosition="0">
        <references count="4">
          <reference field="9" count="1" selected="0">
            <x v="61"/>
          </reference>
          <reference field="10" count="1" selected="0">
            <x v="3"/>
          </reference>
          <reference field="14" count="1">
            <x v="8"/>
          </reference>
          <reference field="18" count="1" selected="0">
            <x v="9"/>
          </reference>
        </references>
      </pivotArea>
    </format>
    <format dxfId="219">
      <pivotArea dataOnly="0" labelOnly="1" outline="0" fieldPosition="0">
        <references count="4">
          <reference field="9" count="1" selected="0">
            <x v="61"/>
          </reference>
          <reference field="10" count="1" selected="0">
            <x v="3"/>
          </reference>
          <reference field="14" count="1">
            <x v="16"/>
          </reference>
          <reference field="18" count="1" selected="0">
            <x v="12"/>
          </reference>
        </references>
      </pivotArea>
    </format>
    <format dxfId="218">
      <pivotArea dataOnly="0" labelOnly="1" outline="0" fieldPosition="0">
        <references count="4">
          <reference field="9" count="1" selected="0">
            <x v="61"/>
          </reference>
          <reference field="10" count="1" selected="0">
            <x v="3"/>
          </reference>
          <reference field="14" count="1">
            <x v="24"/>
          </reference>
          <reference field="18" count="1" selected="0">
            <x v="19"/>
          </reference>
        </references>
      </pivotArea>
    </format>
    <format dxfId="217">
      <pivotArea dataOnly="0" labelOnly="1" outline="0" fieldPosition="0">
        <references count="4">
          <reference field="9" count="1" selected="0">
            <x v="61"/>
          </reference>
          <reference field="10" count="1" selected="0">
            <x v="3"/>
          </reference>
          <reference field="14" count="1">
            <x v="7"/>
          </reference>
          <reference field="18" count="1" selected="0">
            <x v="22"/>
          </reference>
        </references>
      </pivotArea>
    </format>
    <format dxfId="216">
      <pivotArea dataOnly="0" labelOnly="1" outline="0" fieldPosition="0">
        <references count="4">
          <reference field="9" count="1" selected="0">
            <x v="61"/>
          </reference>
          <reference field="10" count="1" selected="0">
            <x v="3"/>
          </reference>
          <reference field="14" count="1">
            <x v="23"/>
          </reference>
          <reference field="18" count="1" selected="0">
            <x v="24"/>
          </reference>
        </references>
      </pivotArea>
    </format>
    <format dxfId="215">
      <pivotArea dataOnly="0" labelOnly="1" outline="0" fieldPosition="0">
        <references count="4">
          <reference field="9" count="1" selected="0">
            <x v="61"/>
          </reference>
          <reference field="10" count="1" selected="0">
            <x v="3"/>
          </reference>
          <reference field="14" count="1">
            <x v="22"/>
          </reference>
          <reference field="18" count="1" selected="0">
            <x v="25"/>
          </reference>
        </references>
      </pivotArea>
    </format>
    <format dxfId="214">
      <pivotArea dataOnly="0" labelOnly="1" outline="0" fieldPosition="0">
        <references count="4">
          <reference field="9" count="1" selected="0">
            <x v="61"/>
          </reference>
          <reference field="10" count="1" selected="0">
            <x v="3"/>
          </reference>
          <reference field="14" count="1">
            <x v="5"/>
          </reference>
          <reference field="18" count="1" selected="0">
            <x v="28"/>
          </reference>
        </references>
      </pivotArea>
    </format>
    <format dxfId="213">
      <pivotArea dataOnly="0" labelOnly="1" outline="0" fieldPosition="0">
        <references count="4">
          <reference field="9" count="1" selected="0">
            <x v="61"/>
          </reference>
          <reference field="10" count="1" selected="0">
            <x v="3"/>
          </reference>
          <reference field="14" count="1">
            <x v="26"/>
          </reference>
          <reference field="18" count="1" selected="0">
            <x v="30"/>
          </reference>
        </references>
      </pivotArea>
    </format>
    <format dxfId="212">
      <pivotArea dataOnly="0" labelOnly="1" outline="0" fieldPosition="0">
        <references count="4">
          <reference field="9" count="1" selected="0">
            <x v="62"/>
          </reference>
          <reference field="10" count="1" selected="0">
            <x v="8"/>
          </reference>
          <reference field="14" count="1">
            <x v="27"/>
          </reference>
          <reference field="18" count="1" selected="0">
            <x v="6"/>
          </reference>
        </references>
      </pivotArea>
    </format>
    <format dxfId="211">
      <pivotArea dataOnly="0" labelOnly="1" outline="0" fieldPosition="0">
        <references count="4">
          <reference field="9" count="1" selected="0">
            <x v="62"/>
          </reference>
          <reference field="10" count="1" selected="0">
            <x v="8"/>
          </reference>
          <reference field="14" count="1">
            <x v="7"/>
          </reference>
          <reference field="18" count="1" selected="0">
            <x v="22"/>
          </reference>
        </references>
      </pivotArea>
    </format>
    <format dxfId="210">
      <pivotArea type="topRight" dataOnly="0" labelOnly="1" outline="0" fieldPosition="0"/>
    </format>
    <format dxfId="209">
      <pivotArea field="18" type="button" dataOnly="0" labelOnly="1" outline="0" axis="axisRow" fieldPosition="2"/>
    </format>
    <format dxfId="208">
      <pivotArea dataOnly="0" labelOnly="1" outline="0" fieldPosition="0">
        <references count="3">
          <reference field="9" count="1" selected="0">
            <x v="0"/>
          </reference>
          <reference field="10" count="1" selected="0">
            <x v="58"/>
          </reference>
          <reference field="18" count="1">
            <x v="28"/>
          </reference>
        </references>
      </pivotArea>
    </format>
    <format dxfId="207">
      <pivotArea dataOnly="0" labelOnly="1" outline="0" fieldPosition="0">
        <references count="3">
          <reference field="9" count="1" selected="0">
            <x v="2"/>
          </reference>
          <reference field="10" count="1" selected="0">
            <x v="56"/>
          </reference>
          <reference field="18" count="5">
            <x v="5"/>
            <x v="12"/>
            <x v="16"/>
            <x v="22"/>
            <x v="30"/>
          </reference>
        </references>
      </pivotArea>
    </format>
    <format dxfId="206">
      <pivotArea dataOnly="0" labelOnly="1" outline="0" fieldPosition="0">
        <references count="3">
          <reference field="9" count="1" selected="0">
            <x v="3"/>
          </reference>
          <reference field="10" count="1" selected="0">
            <x v="55"/>
          </reference>
          <reference field="18" count="12">
            <x v="0"/>
            <x v="3"/>
            <x v="5"/>
            <x v="6"/>
            <x v="8"/>
            <x v="9"/>
            <x v="12"/>
            <x v="13"/>
            <x v="18"/>
            <x v="22"/>
            <x v="25"/>
            <x v="30"/>
          </reference>
        </references>
      </pivotArea>
    </format>
    <format dxfId="205">
      <pivotArea dataOnly="0" labelOnly="1" outline="0" fieldPosition="0">
        <references count="3">
          <reference field="9" count="1" selected="0">
            <x v="4"/>
          </reference>
          <reference field="10" count="1" selected="0">
            <x v="54"/>
          </reference>
          <reference field="18" count="12">
            <x v="3"/>
            <x v="6"/>
            <x v="7"/>
            <x v="8"/>
            <x v="9"/>
            <x v="12"/>
            <x v="14"/>
            <x v="16"/>
            <x v="18"/>
            <x v="22"/>
            <x v="24"/>
            <x v="25"/>
          </reference>
        </references>
      </pivotArea>
    </format>
    <format dxfId="204">
      <pivotArea dataOnly="0" labelOnly="1" outline="0" fieldPosition="0">
        <references count="3">
          <reference field="9" count="1" selected="0">
            <x v="5"/>
          </reference>
          <reference field="10" count="1" selected="0">
            <x v="59"/>
          </reference>
          <reference field="18" count="16">
            <x v="0"/>
            <x v="3"/>
            <x v="5"/>
            <x v="6"/>
            <x v="7"/>
            <x v="8"/>
            <x v="9"/>
            <x v="12"/>
            <x v="15"/>
            <x v="16"/>
            <x v="18"/>
            <x v="22"/>
            <x v="24"/>
            <x v="25"/>
            <x v="29"/>
            <x v="30"/>
          </reference>
        </references>
      </pivotArea>
    </format>
    <format dxfId="203">
      <pivotArea dataOnly="0" labelOnly="1" outline="0" fieldPosition="0">
        <references count="3">
          <reference field="9" count="1" selected="0">
            <x v="6"/>
          </reference>
          <reference field="10" count="1" selected="0">
            <x v="53"/>
          </reference>
          <reference field="18" count="1">
            <x v="20"/>
          </reference>
        </references>
      </pivotArea>
    </format>
    <format dxfId="202">
      <pivotArea dataOnly="0" labelOnly="1" outline="0" fieldPosition="0">
        <references count="3">
          <reference field="9" count="1" selected="0">
            <x v="7"/>
          </reference>
          <reference field="10" count="1" selected="0">
            <x v="60"/>
          </reference>
          <reference field="18" count="1">
            <x v="31"/>
          </reference>
        </references>
      </pivotArea>
    </format>
    <format dxfId="201">
      <pivotArea dataOnly="0" labelOnly="1" outline="0" fieldPosition="0">
        <references count="3">
          <reference field="9" count="1" selected="0">
            <x v="8"/>
          </reference>
          <reference field="10" count="1" selected="0">
            <x v="61"/>
          </reference>
          <reference field="18" count="10">
            <x v="5"/>
            <x v="8"/>
            <x v="9"/>
            <x v="12"/>
            <x v="22"/>
            <x v="24"/>
            <x v="25"/>
            <x v="29"/>
            <x v="30"/>
            <x v="31"/>
          </reference>
        </references>
      </pivotArea>
    </format>
    <format dxfId="200">
      <pivotArea dataOnly="0" labelOnly="1" outline="0" fieldPosition="0">
        <references count="3">
          <reference field="9" count="1" selected="0">
            <x v="9"/>
          </reference>
          <reference field="10" count="1" selected="0">
            <x v="62"/>
          </reference>
          <reference field="18" count="17">
            <x v="0"/>
            <x v="3"/>
            <x v="4"/>
            <x v="5"/>
            <x v="6"/>
            <x v="8"/>
            <x v="9"/>
            <x v="12"/>
            <x v="14"/>
            <x v="18"/>
            <x v="19"/>
            <x v="22"/>
            <x v="24"/>
            <x v="25"/>
            <x v="29"/>
            <x v="30"/>
            <x v="31"/>
          </reference>
        </references>
      </pivotArea>
    </format>
    <format dxfId="199">
      <pivotArea dataOnly="0" labelOnly="1" outline="0" fieldPosition="0">
        <references count="3">
          <reference field="9" count="1" selected="0">
            <x v="10"/>
          </reference>
          <reference field="10" count="1" selected="0">
            <x v="10"/>
          </reference>
          <reference field="18" count="11">
            <x v="1"/>
            <x v="3"/>
            <x v="7"/>
            <x v="11"/>
            <x v="12"/>
            <x v="14"/>
            <x v="15"/>
            <x v="21"/>
            <x v="22"/>
            <x v="28"/>
            <x v="29"/>
          </reference>
        </references>
      </pivotArea>
    </format>
    <format dxfId="198">
      <pivotArea dataOnly="0" labelOnly="1" outline="0" fieldPosition="0">
        <references count="3">
          <reference field="9" count="1" selected="0">
            <x v="11"/>
          </reference>
          <reference field="10" count="1" selected="0">
            <x v="14"/>
          </reference>
          <reference field="18" count="1">
            <x v="3"/>
          </reference>
        </references>
      </pivotArea>
    </format>
    <format dxfId="197">
      <pivotArea dataOnly="0" labelOnly="1" outline="0" fieldPosition="0">
        <references count="3">
          <reference field="9" count="1" selected="0">
            <x v="12"/>
          </reference>
          <reference field="10" count="1" selected="0">
            <x v="18"/>
          </reference>
          <reference field="18" count="18">
            <x v="0"/>
            <x v="1"/>
            <x v="3"/>
            <x v="7"/>
            <x v="8"/>
            <x v="9"/>
            <x v="11"/>
            <x v="12"/>
            <x v="13"/>
            <x v="14"/>
            <x v="15"/>
            <x v="16"/>
            <x v="18"/>
            <x v="22"/>
            <x v="27"/>
            <x v="28"/>
            <x v="29"/>
            <x v="30"/>
          </reference>
        </references>
      </pivotArea>
    </format>
    <format dxfId="196">
      <pivotArea dataOnly="0" labelOnly="1" outline="0" fieldPosition="0">
        <references count="3">
          <reference field="9" count="1" selected="0">
            <x v="13"/>
          </reference>
          <reference field="10" count="1" selected="0">
            <x v="22"/>
          </reference>
          <reference field="18" count="1">
            <x v="6"/>
          </reference>
        </references>
      </pivotArea>
    </format>
    <format dxfId="195">
      <pivotArea dataOnly="0" labelOnly="1" outline="0" fieldPosition="0">
        <references count="3">
          <reference field="9" count="1" selected="0">
            <x v="14"/>
          </reference>
          <reference field="10" count="1" selected="0">
            <x v="26"/>
          </reference>
          <reference field="18" count="2">
            <x v="16"/>
            <x v="30"/>
          </reference>
        </references>
      </pivotArea>
    </format>
    <format dxfId="194">
      <pivotArea dataOnly="0" labelOnly="1" outline="0" fieldPosition="0">
        <references count="3">
          <reference field="9" count="1" selected="0">
            <x v="15"/>
          </reference>
          <reference field="10" count="1" selected="0">
            <x v="30"/>
          </reference>
          <reference field="18" count="11">
            <x v="1"/>
            <x v="3"/>
            <x v="5"/>
            <x v="7"/>
            <x v="12"/>
            <x v="14"/>
            <x v="15"/>
            <x v="16"/>
            <x v="22"/>
            <x v="28"/>
            <x v="29"/>
          </reference>
        </references>
      </pivotArea>
    </format>
    <format dxfId="193">
      <pivotArea dataOnly="0" labelOnly="1" outline="0" fieldPosition="0">
        <references count="3">
          <reference field="9" count="1" selected="0">
            <x v="16"/>
          </reference>
          <reference field="10" count="1" selected="0">
            <x v="34"/>
          </reference>
          <reference field="18" count="1">
            <x v="22"/>
          </reference>
        </references>
      </pivotArea>
    </format>
    <format dxfId="192">
      <pivotArea dataOnly="0" labelOnly="1" outline="0" fieldPosition="0">
        <references count="3">
          <reference field="9" count="1" selected="0">
            <x v="17"/>
          </reference>
          <reference field="10" count="1" selected="0">
            <x v="38"/>
          </reference>
          <reference field="18" count="3">
            <x v="11"/>
            <x v="13"/>
            <x v="29"/>
          </reference>
        </references>
      </pivotArea>
    </format>
    <format dxfId="191">
      <pivotArea dataOnly="0" labelOnly="1" outline="0" fieldPosition="0">
        <references count="3">
          <reference field="9" count="1" selected="0">
            <x v="18"/>
          </reference>
          <reference field="10" count="1" selected="0">
            <x v="42"/>
          </reference>
          <reference field="18" count="10">
            <x v="1"/>
            <x v="3"/>
            <x v="5"/>
            <x v="7"/>
            <x v="8"/>
            <x v="9"/>
            <x v="12"/>
            <x v="14"/>
            <x v="15"/>
            <x v="28"/>
          </reference>
        </references>
      </pivotArea>
    </format>
    <format dxfId="190">
      <pivotArea dataOnly="0" labelOnly="1" outline="0" fieldPosition="0">
        <references count="3">
          <reference field="9" count="1" selected="0">
            <x v="19"/>
          </reference>
          <reference field="10" count="1" selected="0">
            <x v="46"/>
          </reference>
          <reference field="18" count="2">
            <x v="6"/>
            <x v="22"/>
          </reference>
        </references>
      </pivotArea>
    </format>
    <format dxfId="189">
      <pivotArea dataOnly="0" labelOnly="1" outline="0" fieldPosition="0">
        <references count="3">
          <reference field="9" count="1" selected="0">
            <x v="20"/>
          </reference>
          <reference field="10" count="1" selected="0">
            <x v="50"/>
          </reference>
          <reference field="18" count="1">
            <x v="6"/>
          </reference>
        </references>
      </pivotArea>
    </format>
    <format dxfId="188">
      <pivotArea dataOnly="0" labelOnly="1" outline="0" fieldPosition="0">
        <references count="3">
          <reference field="9" count="1" selected="0">
            <x v="21"/>
          </reference>
          <reference field="10" count="1" selected="0">
            <x v="11"/>
          </reference>
          <reference field="18" count="10">
            <x v="0"/>
            <x v="1"/>
            <x v="3"/>
            <x v="7"/>
            <x v="9"/>
            <x v="12"/>
            <x v="14"/>
            <x v="15"/>
            <x v="28"/>
            <x v="29"/>
          </reference>
        </references>
      </pivotArea>
    </format>
    <format dxfId="187">
      <pivotArea dataOnly="0" labelOnly="1" outline="0" fieldPosition="0">
        <references count="3">
          <reference field="9" count="1" selected="0">
            <x v="22"/>
          </reference>
          <reference field="10" count="1" selected="0">
            <x v="15"/>
          </reference>
          <reference field="18" count="1">
            <x v="3"/>
          </reference>
        </references>
      </pivotArea>
    </format>
    <format dxfId="186">
      <pivotArea dataOnly="0" labelOnly="1" outline="0" fieldPosition="0">
        <references count="3">
          <reference field="9" count="1" selected="0">
            <x v="23"/>
          </reference>
          <reference field="10" count="1" selected="0">
            <x v="19"/>
          </reference>
          <reference field="18" count="17">
            <x v="0"/>
            <x v="7"/>
            <x v="8"/>
            <x v="9"/>
            <x v="11"/>
            <x v="12"/>
            <x v="13"/>
            <x v="14"/>
            <x v="15"/>
            <x v="16"/>
            <x v="18"/>
            <x v="22"/>
            <x v="25"/>
            <x v="27"/>
            <x v="28"/>
            <x v="29"/>
            <x v="30"/>
          </reference>
        </references>
      </pivotArea>
    </format>
    <format dxfId="185">
      <pivotArea dataOnly="0" labelOnly="1" outline="0" fieldPosition="0">
        <references count="3">
          <reference field="9" count="1" selected="0">
            <x v="24"/>
          </reference>
          <reference field="10" count="1" selected="0">
            <x v="23"/>
          </reference>
          <reference field="18" count="1">
            <x v="6"/>
          </reference>
        </references>
      </pivotArea>
    </format>
    <format dxfId="184">
      <pivotArea dataOnly="0" labelOnly="1" outline="0" fieldPosition="0">
        <references count="3">
          <reference field="9" count="1" selected="0">
            <x v="25"/>
          </reference>
          <reference field="10" count="1" selected="0">
            <x v="27"/>
          </reference>
          <reference field="18" count="5">
            <x v="3"/>
            <x v="5"/>
            <x v="16"/>
            <x v="28"/>
            <x v="30"/>
          </reference>
        </references>
      </pivotArea>
    </format>
    <format dxfId="183">
      <pivotArea dataOnly="0" labelOnly="1" outline="0" fieldPosition="0">
        <references count="3">
          <reference field="9" count="1" selected="0">
            <x v="26"/>
          </reference>
          <reference field="10" count="1" selected="0">
            <x v="31"/>
          </reference>
          <reference field="18" count="14">
            <x v="0"/>
            <x v="3"/>
            <x v="5"/>
            <x v="7"/>
            <x v="9"/>
            <x v="12"/>
            <x v="14"/>
            <x v="15"/>
            <x v="16"/>
            <x v="18"/>
            <x v="22"/>
            <x v="25"/>
            <x v="28"/>
            <x v="29"/>
          </reference>
        </references>
      </pivotArea>
    </format>
    <format dxfId="182">
      <pivotArea dataOnly="0" labelOnly="1" outline="0" fieldPosition="0">
        <references count="3">
          <reference field="9" count="1" selected="0">
            <x v="27"/>
          </reference>
          <reference field="10" count="1" selected="0">
            <x v="35"/>
          </reference>
          <reference field="18" count="1">
            <x v="22"/>
          </reference>
        </references>
      </pivotArea>
    </format>
    <format dxfId="181">
      <pivotArea dataOnly="0" labelOnly="1" outline="0" fieldPosition="0">
        <references count="3">
          <reference field="9" count="1" selected="0">
            <x v="28"/>
          </reference>
          <reference field="10" count="1" selected="0">
            <x v="39"/>
          </reference>
          <reference field="18" count="5">
            <x v="11"/>
            <x v="12"/>
            <x v="13"/>
            <x v="15"/>
            <x v="27"/>
          </reference>
        </references>
      </pivotArea>
    </format>
    <format dxfId="180">
      <pivotArea dataOnly="0" labelOnly="1" outline="0" fieldPosition="0">
        <references count="3">
          <reference field="9" count="1" selected="0">
            <x v="29"/>
          </reference>
          <reference field="10" count="1" selected="0">
            <x v="43"/>
          </reference>
          <reference field="18" count="8">
            <x v="1"/>
            <x v="3"/>
            <x v="5"/>
            <x v="7"/>
            <x v="15"/>
            <x v="25"/>
            <x v="28"/>
            <x v="29"/>
          </reference>
        </references>
      </pivotArea>
    </format>
    <format dxfId="179">
      <pivotArea dataOnly="0" labelOnly="1" outline="0" fieldPosition="0">
        <references count="3">
          <reference field="9" count="1" selected="0">
            <x v="30"/>
          </reference>
          <reference field="10" count="1" selected="0">
            <x v="47"/>
          </reference>
          <reference field="18" count="2">
            <x v="6"/>
            <x v="22"/>
          </reference>
        </references>
      </pivotArea>
    </format>
    <format dxfId="178">
      <pivotArea dataOnly="0" labelOnly="1" outline="0" fieldPosition="0">
        <references count="3">
          <reference field="9" count="1" selected="0">
            <x v="31"/>
          </reference>
          <reference field="10" count="1" selected="0">
            <x v="51"/>
          </reference>
          <reference field="18" count="1">
            <x v="6"/>
          </reference>
        </references>
      </pivotArea>
    </format>
    <format dxfId="177">
      <pivotArea dataOnly="0" labelOnly="1" outline="0" fieldPosition="0">
        <references count="3">
          <reference field="9" count="1" selected="0">
            <x v="32"/>
          </reference>
          <reference field="10" count="1" selected="0">
            <x v="12"/>
          </reference>
          <reference field="18" count="10">
            <x v="0"/>
            <x v="1"/>
            <x v="3"/>
            <x v="12"/>
            <x v="14"/>
            <x v="21"/>
            <x v="22"/>
            <x v="25"/>
            <x v="28"/>
            <x v="29"/>
          </reference>
        </references>
      </pivotArea>
    </format>
    <format dxfId="176">
      <pivotArea dataOnly="0" labelOnly="1" outline="0" fieldPosition="0">
        <references count="3">
          <reference field="9" count="1" selected="0">
            <x v="33"/>
          </reference>
          <reference field="10" count="1" selected="0">
            <x v="16"/>
          </reference>
          <reference field="18" count="1">
            <x v="3"/>
          </reference>
        </references>
      </pivotArea>
    </format>
    <format dxfId="175">
      <pivotArea dataOnly="0" labelOnly="1" outline="0" fieldPosition="0">
        <references count="3">
          <reference field="9" count="1" selected="0">
            <x v="34"/>
          </reference>
          <reference field="10" count="1" selected="0">
            <x v="20"/>
          </reference>
          <reference field="18" count="17">
            <x v="0"/>
            <x v="1"/>
            <x v="7"/>
            <x v="8"/>
            <x v="9"/>
            <x v="11"/>
            <x v="12"/>
            <x v="13"/>
            <x v="15"/>
            <x v="16"/>
            <x v="18"/>
            <x v="22"/>
            <x v="25"/>
            <x v="27"/>
            <x v="28"/>
            <x v="29"/>
            <x v="30"/>
          </reference>
        </references>
      </pivotArea>
    </format>
    <format dxfId="174">
      <pivotArea dataOnly="0" labelOnly="1" outline="0" fieldPosition="0">
        <references count="3">
          <reference field="9" count="1" selected="0">
            <x v="35"/>
          </reference>
          <reference field="10" count="1" selected="0">
            <x v="24"/>
          </reference>
          <reference field="18" count="1">
            <x v="6"/>
          </reference>
        </references>
      </pivotArea>
    </format>
    <format dxfId="173">
      <pivotArea dataOnly="0" labelOnly="1" outline="0" fieldPosition="0">
        <references count="3">
          <reference field="9" count="1" selected="0">
            <x v="36"/>
          </reference>
          <reference field="10" count="1" selected="0">
            <x v="28"/>
          </reference>
          <reference field="18" count="3">
            <x v="4"/>
            <x v="16"/>
            <x v="30"/>
          </reference>
        </references>
      </pivotArea>
    </format>
    <format dxfId="172">
      <pivotArea dataOnly="0" labelOnly="1" outline="0" fieldPosition="0">
        <references count="3">
          <reference field="9" count="1" selected="0">
            <x v="37"/>
          </reference>
          <reference field="10" count="1" selected="0">
            <x v="32"/>
          </reference>
          <reference field="18" count="10">
            <x v="1"/>
            <x v="5"/>
            <x v="7"/>
            <x v="9"/>
            <x v="12"/>
            <x v="14"/>
            <x v="15"/>
            <x v="25"/>
            <x v="28"/>
            <x v="29"/>
          </reference>
        </references>
      </pivotArea>
    </format>
    <format dxfId="171">
      <pivotArea dataOnly="0" labelOnly="1" outline="0" fieldPosition="0">
        <references count="3">
          <reference field="9" count="1" selected="0">
            <x v="38"/>
          </reference>
          <reference field="10" count="1" selected="0">
            <x v="36"/>
          </reference>
          <reference field="18" count="1">
            <x v="22"/>
          </reference>
        </references>
      </pivotArea>
    </format>
    <format dxfId="170">
      <pivotArea dataOnly="0" labelOnly="1" outline="0" fieldPosition="0">
        <references count="3">
          <reference field="9" count="1" selected="0">
            <x v="39"/>
          </reference>
          <reference field="10" count="1" selected="0">
            <x v="40"/>
          </reference>
          <reference field="18" count="7">
            <x v="11"/>
            <x v="12"/>
            <x v="13"/>
            <x v="15"/>
            <x v="25"/>
            <x v="27"/>
            <x v="29"/>
          </reference>
        </references>
      </pivotArea>
    </format>
    <format dxfId="169">
      <pivotArea dataOnly="0" labelOnly="1" outline="0" fieldPosition="0">
        <references count="3">
          <reference field="9" count="1" selected="0">
            <x v="40"/>
          </reference>
          <reference field="10" count="1" selected="0">
            <x v="44"/>
          </reference>
          <reference field="18" count="8">
            <x v="3"/>
            <x v="5"/>
            <x v="7"/>
            <x v="8"/>
            <x v="9"/>
            <x v="14"/>
            <x v="15"/>
            <x v="28"/>
          </reference>
        </references>
      </pivotArea>
    </format>
    <format dxfId="168">
      <pivotArea dataOnly="0" labelOnly="1" outline="0" fieldPosition="0">
        <references count="3">
          <reference field="9" count="1" selected="0">
            <x v="41"/>
          </reference>
          <reference field="10" count="1" selected="0">
            <x v="48"/>
          </reference>
          <reference field="18" count="2">
            <x v="6"/>
            <x v="22"/>
          </reference>
        </references>
      </pivotArea>
    </format>
    <format dxfId="167">
      <pivotArea dataOnly="0" labelOnly="1" outline="0" fieldPosition="0">
        <references count="3">
          <reference field="9" count="1" selected="0">
            <x v="42"/>
          </reference>
          <reference field="10" count="1" selected="0">
            <x v="52"/>
          </reference>
          <reference field="18" count="1">
            <x v="6"/>
          </reference>
        </references>
      </pivotArea>
    </format>
    <format dxfId="166">
      <pivotArea dataOnly="0" labelOnly="1" outline="0" fieldPosition="0">
        <references count="3">
          <reference field="9" count="1" selected="0">
            <x v="43"/>
          </reference>
          <reference field="10" count="1" selected="0">
            <x v="9"/>
          </reference>
          <reference field="18" count="7">
            <x v="1"/>
            <x v="3"/>
            <x v="7"/>
            <x v="14"/>
            <x v="21"/>
            <x v="28"/>
            <x v="29"/>
          </reference>
        </references>
      </pivotArea>
    </format>
    <format dxfId="165">
      <pivotArea dataOnly="0" labelOnly="1" outline="0" fieldPosition="0">
        <references count="3">
          <reference field="9" count="1" selected="0">
            <x v="44"/>
          </reference>
          <reference field="10" count="1" selected="0">
            <x v="13"/>
          </reference>
          <reference field="18" count="1">
            <x v="3"/>
          </reference>
        </references>
      </pivotArea>
    </format>
    <format dxfId="164">
      <pivotArea dataOnly="0" labelOnly="1" outline="0" fieldPosition="0">
        <references count="3">
          <reference field="9" count="1" selected="0">
            <x v="45"/>
          </reference>
          <reference field="10" count="1" selected="0">
            <x v="17"/>
          </reference>
          <reference field="18" count="17">
            <x v="0"/>
            <x v="1"/>
            <x v="3"/>
            <x v="7"/>
            <x v="8"/>
            <x v="9"/>
            <x v="11"/>
            <x v="12"/>
            <x v="13"/>
            <x v="14"/>
            <x v="16"/>
            <x v="18"/>
            <x v="22"/>
            <x v="27"/>
            <x v="28"/>
            <x v="29"/>
            <x v="30"/>
          </reference>
        </references>
      </pivotArea>
    </format>
    <format dxfId="163">
      <pivotArea dataOnly="0" labelOnly="1" outline="0" fieldPosition="0">
        <references count="3">
          <reference field="9" count="1" selected="0">
            <x v="46"/>
          </reference>
          <reference field="10" count="1" selected="0">
            <x v="21"/>
          </reference>
          <reference field="18" count="1">
            <x v="6"/>
          </reference>
        </references>
      </pivotArea>
    </format>
    <format dxfId="162">
      <pivotArea dataOnly="0" labelOnly="1" outline="0" fieldPosition="0">
        <references count="3">
          <reference field="9" count="1" selected="0">
            <x v="47"/>
          </reference>
          <reference field="10" count="1" selected="0">
            <x v="25"/>
          </reference>
          <reference field="18" count="2">
            <x v="16"/>
            <x v="30"/>
          </reference>
        </references>
      </pivotArea>
    </format>
    <format dxfId="161">
      <pivotArea dataOnly="0" labelOnly="1" outline="0" fieldPosition="0">
        <references count="3">
          <reference field="9" count="1" selected="0">
            <x v="48"/>
          </reference>
          <reference field="10" count="1" selected="0">
            <x v="29"/>
          </reference>
          <reference field="18" count="8">
            <x v="3"/>
            <x v="5"/>
            <x v="7"/>
            <x v="14"/>
            <x v="16"/>
            <x v="19"/>
            <x v="25"/>
            <x v="28"/>
          </reference>
        </references>
      </pivotArea>
    </format>
    <format dxfId="160">
      <pivotArea dataOnly="0" labelOnly="1" outline="0" fieldPosition="0">
        <references count="3">
          <reference field="9" count="1" selected="0">
            <x v="49"/>
          </reference>
          <reference field="10" count="1" selected="0">
            <x v="33"/>
          </reference>
          <reference field="18" count="1">
            <x v="22"/>
          </reference>
        </references>
      </pivotArea>
    </format>
    <format dxfId="159">
      <pivotArea dataOnly="0" labelOnly="1" outline="0" fieldPosition="0">
        <references count="3">
          <reference field="9" count="1" selected="0">
            <x v="50"/>
          </reference>
          <reference field="10" count="1" selected="0">
            <x v="37"/>
          </reference>
          <reference field="18" count="5">
            <x v="0"/>
            <x v="11"/>
            <x v="13"/>
            <x v="27"/>
            <x v="29"/>
          </reference>
        </references>
      </pivotArea>
    </format>
    <format dxfId="158">
      <pivotArea dataOnly="0" labelOnly="1" outline="0" fieldPosition="0">
        <references count="3">
          <reference field="9" count="1" selected="0">
            <x v="51"/>
          </reference>
          <reference field="10" count="1" selected="0">
            <x v="41"/>
          </reference>
          <reference field="18" count="8">
            <x v="1"/>
            <x v="3"/>
            <x v="7"/>
            <x v="9"/>
            <x v="12"/>
            <x v="18"/>
            <x v="25"/>
            <x v="28"/>
          </reference>
        </references>
      </pivotArea>
    </format>
    <format dxfId="157">
      <pivotArea dataOnly="0" labelOnly="1" outline="0" fieldPosition="0">
        <references count="3">
          <reference field="9" count="1" selected="0">
            <x v="52"/>
          </reference>
          <reference field="10" count="1" selected="0">
            <x v="45"/>
          </reference>
          <reference field="18" count="2">
            <x v="6"/>
            <x v="22"/>
          </reference>
        </references>
      </pivotArea>
    </format>
    <format dxfId="156">
      <pivotArea dataOnly="0" labelOnly="1" outline="0" fieldPosition="0">
        <references count="3">
          <reference field="9" count="1" selected="0">
            <x v="53"/>
          </reference>
          <reference field="10" count="1" selected="0">
            <x v="49"/>
          </reference>
          <reference field="18" count="1">
            <x v="6"/>
          </reference>
        </references>
      </pivotArea>
    </format>
    <format dxfId="155">
      <pivotArea dataOnly="0" labelOnly="1" outline="0" fieldPosition="0">
        <references count="3">
          <reference field="9" count="1" selected="0">
            <x v="54"/>
          </reference>
          <reference field="10" count="1" selected="0">
            <x v="4"/>
          </reference>
          <reference field="18" count="1">
            <x v="15"/>
          </reference>
        </references>
      </pivotArea>
    </format>
    <format dxfId="154">
      <pivotArea dataOnly="0" labelOnly="1" outline="0" fieldPosition="0">
        <references count="3">
          <reference field="9" count="1" selected="0">
            <x v="55"/>
          </reference>
          <reference field="10" count="1" selected="0">
            <x v="5"/>
          </reference>
          <reference field="18" count="9">
            <x v="3"/>
            <x v="5"/>
            <x v="6"/>
            <x v="7"/>
            <x v="11"/>
            <x v="13"/>
            <x v="19"/>
            <x v="21"/>
            <x v="27"/>
          </reference>
        </references>
      </pivotArea>
    </format>
    <format dxfId="153">
      <pivotArea dataOnly="0" labelOnly="1" outline="0" fieldPosition="0">
        <references count="3">
          <reference field="9" count="1" selected="0">
            <x v="56"/>
          </reference>
          <reference field="10" count="1" selected="0">
            <x v="6"/>
          </reference>
          <reference field="18" count="9">
            <x v="3"/>
            <x v="5"/>
            <x v="6"/>
            <x v="7"/>
            <x v="8"/>
            <x v="11"/>
            <x v="13"/>
            <x v="22"/>
            <x v="27"/>
          </reference>
        </references>
      </pivotArea>
    </format>
    <format dxfId="152">
      <pivotArea dataOnly="0" labelOnly="1" outline="0" fieldPosition="0">
        <references count="3">
          <reference field="9" count="1" selected="0">
            <x v="57"/>
          </reference>
          <reference field="10" count="1" selected="0">
            <x v="7"/>
          </reference>
          <reference field="18" count="10">
            <x v="3"/>
            <x v="5"/>
            <x v="6"/>
            <x v="7"/>
            <x v="11"/>
            <x v="13"/>
            <x v="15"/>
            <x v="16"/>
            <x v="22"/>
            <x v="27"/>
          </reference>
        </references>
      </pivotArea>
    </format>
    <format dxfId="151">
      <pivotArea dataOnly="0" labelOnly="1" outline="0" fieldPosition="0">
        <references count="3">
          <reference field="9" count="1" selected="0">
            <x v="58"/>
          </reference>
          <reference field="10" count="1" selected="0">
            <x v="0"/>
          </reference>
          <reference field="18" count="11">
            <x v="0"/>
            <x v="3"/>
            <x v="5"/>
            <x v="8"/>
            <x v="9"/>
            <x v="12"/>
            <x v="18"/>
            <x v="19"/>
            <x v="22"/>
            <x v="25"/>
            <x v="28"/>
          </reference>
        </references>
      </pivotArea>
    </format>
    <format dxfId="150">
      <pivotArea dataOnly="0" labelOnly="1" outline="0" fieldPosition="0">
        <references count="3">
          <reference field="9" count="1" selected="0">
            <x v="59"/>
          </reference>
          <reference field="10" count="1" selected="0">
            <x v="1"/>
          </reference>
          <reference field="18" count="9">
            <x v="3"/>
            <x v="4"/>
            <x v="8"/>
            <x v="9"/>
            <x v="12"/>
            <x v="19"/>
            <x v="22"/>
            <x v="28"/>
            <x v="30"/>
          </reference>
        </references>
      </pivotArea>
    </format>
    <format dxfId="149">
      <pivotArea dataOnly="0" labelOnly="1" outline="0" fieldPosition="0">
        <references count="3">
          <reference field="9" count="1" selected="0">
            <x v="60"/>
          </reference>
          <reference field="10" count="1" selected="0">
            <x v="2"/>
          </reference>
          <reference field="18" count="9">
            <x v="4"/>
            <x v="5"/>
            <x v="6"/>
            <x v="8"/>
            <x v="12"/>
            <x v="19"/>
            <x v="22"/>
            <x v="25"/>
            <x v="28"/>
          </reference>
        </references>
      </pivotArea>
    </format>
    <format dxfId="148">
      <pivotArea dataOnly="0" labelOnly="1" outline="0" fieldPosition="0">
        <references count="3">
          <reference field="9" count="1" selected="0">
            <x v="61"/>
          </reference>
          <reference field="10" count="1" selected="0">
            <x v="3"/>
          </reference>
          <reference field="18" count="12">
            <x v="0"/>
            <x v="3"/>
            <x v="4"/>
            <x v="8"/>
            <x v="9"/>
            <x v="12"/>
            <x v="19"/>
            <x v="22"/>
            <x v="24"/>
            <x v="25"/>
            <x v="28"/>
            <x v="30"/>
          </reference>
        </references>
      </pivotArea>
    </format>
    <format dxfId="147">
      <pivotArea dataOnly="0" labelOnly="1" outline="0" fieldPosition="0">
        <references count="3">
          <reference field="9" count="1" selected="0">
            <x v="62"/>
          </reference>
          <reference field="10" count="1" selected="0">
            <x v="8"/>
          </reference>
          <reference field="18" count="2">
            <x v="6"/>
            <x v="22"/>
          </reference>
        </references>
      </pivotArea>
    </format>
    <format dxfId="146">
      <pivotArea outline="0" collapsedLevelsAreSubtotals="1" fieldPosition="0"/>
    </format>
    <format dxfId="145">
      <pivotArea field="2" type="button" dataOnly="0" labelOnly="1" outline="0"/>
    </format>
    <format dxfId="144">
      <pivotArea field="9" type="button" dataOnly="0" labelOnly="1" outline="0" axis="axisRow" fieldPosition="0"/>
    </format>
    <format dxfId="143">
      <pivotArea field="10" type="button" dataOnly="0" labelOnly="1" outline="0" axis="axisRow" fieldPosition="1"/>
    </format>
    <format dxfId="142">
      <pivotArea field="18" type="button" dataOnly="0" labelOnly="1" outline="0" axis="axisRow" fieldPosition="2"/>
    </format>
    <format dxfId="141">
      <pivotArea field="14" type="button" dataOnly="0" labelOnly="1" outline="0" axis="axisRow" fieldPosition="3"/>
    </format>
    <format dxfId="140">
      <pivotArea field="69" type="button" dataOnly="0" labelOnly="1" outline="0"/>
    </format>
    <format dxfId="139">
      <pivotArea field="16" type="button" dataOnly="0" labelOnly="1" outline="0" axis="axisRow" fieldPosition="4"/>
    </format>
    <format dxfId="138">
      <pivotArea type="all" dataOnly="0" outline="0" fieldPosition="0"/>
    </format>
    <format dxfId="137">
      <pivotArea outline="0" collapsedLevelsAreSubtotals="1" fieldPosition="0"/>
    </format>
    <format dxfId="136">
      <pivotArea type="origin" dataOnly="0" labelOnly="1" outline="0" fieldPosition="0"/>
    </format>
    <format dxfId="135">
      <pivotArea field="2" type="button" dataOnly="0" labelOnly="1" outline="0"/>
    </format>
    <format dxfId="134">
      <pivotArea field="9" type="button" dataOnly="0" labelOnly="1" outline="0" axis="axisRow" fieldPosition="0"/>
    </format>
    <format dxfId="133">
      <pivotArea field="10" type="button" dataOnly="0" labelOnly="1" outline="0" axis="axisRow" fieldPosition="1"/>
    </format>
    <format dxfId="132">
      <pivotArea field="18" type="button" dataOnly="0" labelOnly="1" outline="0" axis="axisRow" fieldPosition="2"/>
    </format>
    <format dxfId="131">
      <pivotArea field="14" type="button" dataOnly="0" labelOnly="1" outline="0" axis="axisRow" fieldPosition="3"/>
    </format>
    <format dxfId="130">
      <pivotArea field="69" type="button" dataOnly="0" labelOnly="1" outline="0"/>
    </format>
    <format dxfId="129">
      <pivotArea field="16" type="button" dataOnly="0" labelOnly="1" outline="0" axis="axisRow" fieldPosition="4"/>
    </format>
    <format dxfId="128">
      <pivotArea dataOnly="0" labelOnly="1" grandRow="1" outline="0" fieldPosition="0"/>
    </format>
    <format dxfId="127">
      <pivotArea type="topRight" dataOnly="0" labelOnly="1" outline="0" fieldPosition="0"/>
    </format>
    <format dxfId="126">
      <pivotArea type="all" dataOnly="0" outline="0" fieldPosition="0"/>
    </format>
    <format dxfId="125">
      <pivotArea outline="0" collapsedLevelsAreSubtotals="1" fieldPosition="0"/>
    </format>
    <format dxfId="124">
      <pivotArea type="origin" dataOnly="0" labelOnly="1" outline="0" fieldPosition="0"/>
    </format>
    <format dxfId="123">
      <pivotArea field="2" type="button" dataOnly="0" labelOnly="1" outline="0"/>
    </format>
    <format dxfId="122">
      <pivotArea field="9" type="button" dataOnly="0" labelOnly="1" outline="0" axis="axisRow" fieldPosition="0"/>
    </format>
    <format dxfId="121">
      <pivotArea field="10" type="button" dataOnly="0" labelOnly="1" outline="0" axis="axisRow" fieldPosition="1"/>
    </format>
    <format dxfId="120">
      <pivotArea field="18" type="button" dataOnly="0" labelOnly="1" outline="0" axis="axisRow" fieldPosition="2"/>
    </format>
    <format dxfId="119">
      <pivotArea field="14" type="button" dataOnly="0" labelOnly="1" outline="0" axis="axisRow" fieldPosition="3"/>
    </format>
    <format dxfId="118">
      <pivotArea field="69" type="button" dataOnly="0" labelOnly="1" outline="0"/>
    </format>
    <format dxfId="117">
      <pivotArea field="16" type="button" dataOnly="0" labelOnly="1" outline="0" axis="axisRow" fieldPosition="4"/>
    </format>
    <format dxfId="116">
      <pivotArea dataOnly="0" labelOnly="1" grandRow="1" outline="0" fieldPosition="0"/>
    </format>
    <format dxfId="115">
      <pivotArea type="topRight" dataOnly="0" labelOnly="1" outline="0" fieldPosition="0"/>
    </format>
    <format dxfId="114">
      <pivotArea type="origin" dataOnly="0" labelOnly="1" outline="0" fieldPosition="0"/>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Agotado" cacheId="0" applyNumberFormats="0" applyBorderFormats="0" applyFontFormats="0" applyPatternFormats="0" applyAlignmentFormats="0" applyWidthHeightFormats="1" dataCaption="Valores" updatedVersion="6" minRefreshableVersion="3" itemPrintTitles="1" createdVersion="7" indent="0" compact="0" compactData="0" gridDropZones="1" multipleFieldFilters="0">
  <location ref="B5:H7" firstHeaderRow="2" firstDataRow="2" firstDataCol="6"/>
  <pivotFields count="72">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4">
        <item m="1" x="3"/>
        <item m="1" x="2"/>
        <item m="1" x="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7">
        <item m="1" x="3"/>
        <item m="1" x="4"/>
        <item m="1" x="1"/>
        <item m="1" x="2"/>
        <item m="1" x="6"/>
        <item m="1" x="5"/>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name="Pedido" axis="axisRow" compact="0" outline="0" subtotalTop="0" showAll="0" defaultSubtotal="0">
      <items count="85">
        <item m="1" x="41"/>
        <item m="1" x="5"/>
        <item m="1" x="57"/>
        <item m="1" x="20"/>
        <item m="1" x="30"/>
        <item m="1" x="31"/>
        <item m="1" x="17"/>
        <item m="1" x="54"/>
        <item m="1" x="80"/>
        <item m="1" x="65"/>
        <item m="1" x="3"/>
        <item m="1" x="56"/>
        <item m="1" x="9"/>
        <item m="1" x="77"/>
        <item m="1" x="73"/>
        <item m="1" x="76"/>
        <item m="1" x="10"/>
        <item m="1" x="67"/>
        <item m="1" x="6"/>
        <item m="1" x="49"/>
        <item m="1" x="44"/>
        <item m="1" x="35"/>
        <item m="1" x="4"/>
        <item m="1" x="68"/>
        <item m="1" x="22"/>
        <item m="1" x="52"/>
        <item m="1" x="21"/>
        <item m="1" x="47"/>
        <item m="1" x="8"/>
        <item m="1" x="43"/>
        <item m="1" x="84"/>
        <item m="1" x="82"/>
        <item m="1" x="53"/>
        <item m="1" x="38"/>
        <item m="1" x="46"/>
        <item m="1" x="59"/>
        <item m="1" x="2"/>
        <item m="1" x="58"/>
        <item m="1" x="83"/>
        <item m="1" x="45"/>
        <item m="1" x="62"/>
        <item m="1" x="34"/>
        <item m="1" x="29"/>
        <item m="1" x="15"/>
        <item m="1" x="19"/>
        <item m="1" x="33"/>
        <item m="1" x="40"/>
        <item m="1" x="37"/>
        <item m="1" x="39"/>
        <item m="1" x="69"/>
        <item m="1" x="32"/>
        <item m="1" x="26"/>
        <item m="1" x="11"/>
        <item m="1" x="7"/>
        <item m="1" x="16"/>
        <item m="1" x="64"/>
        <item m="1" x="74"/>
        <item m="1" x="63"/>
        <item m="1" x="28"/>
        <item m="1" x="75"/>
        <item m="1" x="27"/>
        <item m="1" x="13"/>
        <item m="1" x="48"/>
        <item m="1" x="66"/>
        <item m="1" x="14"/>
        <item m="1" x="70"/>
        <item m="1" x="25"/>
        <item m="1" x="79"/>
        <item m="1" x="72"/>
        <item m="1" x="24"/>
        <item m="1" x="60"/>
        <item m="1" x="12"/>
        <item m="1" x="71"/>
        <item m="1" x="18"/>
        <item m="1" x="55"/>
        <item m="1" x="51"/>
        <item m="1" x="1"/>
        <item m="1" x="81"/>
        <item m="1" x="78"/>
        <item m="1" x="36"/>
        <item m="1" x="50"/>
        <item m="1" x="61"/>
        <item m="1" x="23"/>
        <item m="1" x="42"/>
        <item x="0"/>
      </items>
      <extLst>
        <ext xmlns:x14="http://schemas.microsoft.com/office/spreadsheetml/2009/9/main" uri="{2946ED86-A175-432a-8AC1-64E0C546D7DE}">
          <x14:pivotField fillDownLabels="1"/>
        </ext>
      </extLst>
    </pivotField>
    <pivotField name="Orden de Compra" axis="axisRow" compact="0" outline="0" subtotalTop="0" showAll="0" defaultSubtotal="0">
      <items count="83">
        <item m="1" x="11"/>
        <item m="1" x="35"/>
        <item m="1" x="49"/>
        <item m="1" x="71"/>
        <item m="1" x="64"/>
        <item m="1" x="81"/>
        <item m="1" x="20"/>
        <item m="1" x="2"/>
        <item m="1" x="15"/>
        <item m="1" x="25"/>
        <item m="1" x="26"/>
        <item m="1" x="27"/>
        <item m="1" x="28"/>
        <item m="1" x="66"/>
        <item m="1" x="67"/>
        <item m="1" x="68"/>
        <item m="1" x="69"/>
        <item m="1" x="34"/>
        <item m="1" x="36"/>
        <item m="1" x="38"/>
        <item m="1" x="39"/>
        <item m="1" x="7"/>
        <item m="1" x="10"/>
        <item m="1" x="52"/>
        <item m="1" x="54"/>
        <item m="1" x="73"/>
        <item m="1" x="76"/>
        <item m="1" x="77"/>
        <item m="1" x="80"/>
        <item m="1" x="12"/>
        <item m="1" x="55"/>
        <item m="1" x="56"/>
        <item m="1" x="57"/>
        <item m="1" x="44"/>
        <item m="1" x="46"/>
        <item m="1" x="16"/>
        <item m="1" x="17"/>
        <item m="1" x="45"/>
        <item m="1" x="48"/>
        <item m="1" x="50"/>
        <item m="1" x="51"/>
        <item m="1" x="13"/>
        <item m="1" x="14"/>
        <item m="1" x="59"/>
        <item m="1" x="61"/>
        <item m="1" x="1"/>
        <item m="1" x="3"/>
        <item m="1" x="4"/>
        <item m="1" x="47"/>
        <item m="1" x="22"/>
        <item m="1" x="23"/>
        <item m="1" x="72"/>
        <item m="1" x="74"/>
        <item m="1" x="78"/>
        <item m="1" x="37"/>
        <item m="1" x="58"/>
        <item m="1" x="60"/>
        <item m="1" x="8"/>
        <item m="1" x="9"/>
        <item m="1" x="30"/>
        <item m="1" x="82"/>
        <item m="1" x="75"/>
        <item m="1" x="41"/>
        <item m="1" x="62"/>
        <item m="1" x="31"/>
        <item m="1" x="79"/>
        <item m="1" x="18"/>
        <item m="1" x="29"/>
        <item m="1" x="32"/>
        <item m="1" x="5"/>
        <item m="1" x="19"/>
        <item m="1" x="33"/>
        <item m="1" x="24"/>
        <item m="1" x="65"/>
        <item m="1" x="63"/>
        <item m="1" x="43"/>
        <item m="1" x="42"/>
        <item m="1" x="40"/>
        <item m="1" x="53"/>
        <item m="1" x="6"/>
        <item m="1" x="70"/>
        <item m="1" x="2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61">
        <item m="1" x="10"/>
        <item m="1" x="60"/>
        <item m="1" x="32"/>
        <item m="1" x="44"/>
        <item m="1" x="59"/>
        <item m="1" x="4"/>
        <item m="1" x="3"/>
        <item m="1" x="26"/>
        <item m="1" x="16"/>
        <item m="1" x="24"/>
        <item m="1" x="55"/>
        <item m="1" x="37"/>
        <item m="1" x="7"/>
        <item m="1" x="42"/>
        <item m="1" x="45"/>
        <item m="1" x="41"/>
        <item m="1" x="31"/>
        <item m="1" x="40"/>
        <item m="1" x="25"/>
        <item m="1" x="30"/>
        <item m="1" x="39"/>
        <item m="1" x="22"/>
        <item m="1" x="5"/>
        <item m="1" x="46"/>
        <item m="1" x="19"/>
        <item m="1" x="47"/>
        <item m="1" x="54"/>
        <item m="1" x="48"/>
        <item m="1" x="13"/>
        <item m="1" x="12"/>
        <item m="1" x="27"/>
        <item m="1" x="14"/>
        <item m="1" x="52"/>
        <item m="1" x="29"/>
        <item m="1" x="6"/>
        <item m="1" x="23"/>
        <item m="1" x="49"/>
        <item m="1" x="11"/>
        <item m="1" x="15"/>
        <item m="1" x="53"/>
        <item m="1" x="58"/>
        <item m="1" x="57"/>
        <item m="1" x="36"/>
        <item m="1" x="33"/>
        <item m="1" x="51"/>
        <item m="1" x="50"/>
        <item m="1" x="9"/>
        <item m="1" x="17"/>
        <item m="1" x="18"/>
        <item m="1" x="43"/>
        <item m="1" x="20"/>
        <item m="1" x="2"/>
        <item m="1" x="38"/>
        <item m="1" x="28"/>
        <item m="1" x="35"/>
        <item m="1" x="34"/>
        <item m="1" x="8"/>
        <item m="1" x="56"/>
        <item m="1" x="21"/>
        <item m="1" x="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61">
        <item m="1" x="12"/>
        <item m="1" x="26"/>
        <item m="1" x="37"/>
        <item m="1" x="48"/>
        <item m="1" x="50"/>
        <item m="1" x="59"/>
        <item m="1" x="60"/>
        <item m="1" x="28"/>
        <item m="1" x="19"/>
        <item m="1" x="51"/>
        <item m="1" x="53"/>
        <item m="1" x="56"/>
        <item m="1" x="36"/>
        <item m="1" x="40"/>
        <item m="1" x="57"/>
        <item m="1" x="23"/>
        <item m="1" x="8"/>
        <item m="1" x="13"/>
        <item m="1" x="24"/>
        <item m="1" x="20"/>
        <item m="1" x="54"/>
        <item m="1" x="55"/>
        <item m="1" x="52"/>
        <item m="1" x="41"/>
        <item m="1" x="18"/>
        <item m="1" x="1"/>
        <item m="1" x="16"/>
        <item m="1" x="46"/>
        <item m="1" x="29"/>
        <item m="1" x="9"/>
        <item m="1" x="25"/>
        <item m="1" x="6"/>
        <item m="1" x="30"/>
        <item m="1" x="5"/>
        <item m="1" x="49"/>
        <item m="1" x="45"/>
        <item m="1" x="42"/>
        <item m="1" x="21"/>
        <item m="1" x="43"/>
        <item m="1" x="17"/>
        <item m="1" x="4"/>
        <item m="1" x="35"/>
        <item m="1" x="2"/>
        <item m="1" x="22"/>
        <item m="1" x="39"/>
        <item m="1" x="10"/>
        <item m="1" x="11"/>
        <item m="1" x="44"/>
        <item m="1" x="32"/>
        <item m="1" x="33"/>
        <item m="1" x="34"/>
        <item m="1" x="15"/>
        <item m="1" x="31"/>
        <item m="1" x="7"/>
        <item m="1" x="27"/>
        <item m="1" x="47"/>
        <item m="1" x="38"/>
        <item m="1" x="58"/>
        <item m="1" x="3"/>
        <item m="1" x="14"/>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name="EAN" axis="axisRow" compact="0" outline="0" subtotalTop="0" showAll="0" defaultSubtotal="0">
      <items count="34">
        <item m="1" x="5"/>
        <item m="1" x="1"/>
        <item m="1" x="7"/>
        <item m="1" x="32"/>
        <item m="1" x="30"/>
        <item m="1" x="13"/>
        <item m="1" x="23"/>
        <item m="1" x="18"/>
        <item m="1" x="31"/>
        <item m="1" x="14"/>
        <item m="1" x="4"/>
        <item m="1" x="26"/>
        <item m="1" x="15"/>
        <item m="1" x="33"/>
        <item m="1" x="10"/>
        <item m="1" x="12"/>
        <item m="1" x="16"/>
        <item m="1" x="19"/>
        <item m="1" x="17"/>
        <item m="1" x="24"/>
        <item m="1" x="25"/>
        <item m="1" x="22"/>
        <item m="1" x="11"/>
        <item m="1" x="8"/>
        <item m="1" x="2"/>
        <item m="1" x="28"/>
        <item m="1" x="20"/>
        <item m="1" x="3"/>
        <item m="1" x="9"/>
        <item m="1" x="29"/>
        <item m="1" x="21"/>
        <item m="1" x="27"/>
        <item m="1" x="6"/>
        <item x="0"/>
      </items>
      <extLst>
        <ext xmlns:x14="http://schemas.microsoft.com/office/spreadsheetml/2009/9/main" uri="{2946ED86-A175-432a-8AC1-64E0C546D7DE}">
          <x14:pivotField fillDownLabels="1"/>
        </ext>
      </extLst>
    </pivotField>
    <pivotField compact="0" numFmtId="14" outline="0" subtotalTop="0" showAll="0" defaultSubtotal="0">
      <items count="35">
        <item m="1" x="34"/>
        <item m="1" x="23"/>
        <item m="1" x="21"/>
        <item m="1" x="8"/>
        <item m="1" x="30"/>
        <item m="1" x="12"/>
        <item m="1" x="6"/>
        <item m="1" x="28"/>
        <item m="1" x="11"/>
        <item m="1" x="26"/>
        <item m="1" x="4"/>
        <item m="1" x="19"/>
        <item m="1" x="33"/>
        <item m="1" x="9"/>
        <item m="1" x="25"/>
        <item m="1" x="1"/>
        <item m="1" x="17"/>
        <item m="1" x="32"/>
        <item m="1" x="3"/>
        <item m="1" x="18"/>
        <item m="1" x="13"/>
        <item m="1" x="27"/>
        <item m="1" x="14"/>
        <item m="1" x="20"/>
        <item m="1" x="10"/>
        <item m="1" x="16"/>
        <item m="1" x="5"/>
        <item m="1" x="15"/>
        <item m="1" x="31"/>
        <item m="1" x="7"/>
        <item m="1" x="24"/>
        <item m="1" x="29"/>
        <item m="1" x="22"/>
        <item m="1" x="2"/>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name="Motivo" axis="axisRow" compact="0" outline="0" subtotalTop="0" multipleItemSelectionAllowed="1" showAll="0" defaultSubtotal="0">
      <items count="8">
        <item h="1" m="1" x="2"/>
        <item m="1" x="1"/>
        <item h="1" m="1" x="3"/>
        <item h="1" m="1" x="7"/>
        <item m="1" x="4"/>
        <item h="1" m="1" x="6"/>
        <item m="1" x="5"/>
        <item h="1"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items count="84">
        <item m="1" x="49"/>
        <item m="1" x="45"/>
        <item m="1" x="21"/>
        <item m="1" x="72"/>
        <item m="1" x="43"/>
        <item m="1" x="26"/>
        <item m="1" x="38"/>
        <item m="1" x="16"/>
        <item m="1" x="52"/>
        <item m="1" x="42"/>
        <item m="1" x="58"/>
        <item m="1" x="30"/>
        <item m="1" x="44"/>
        <item m="1" x="47"/>
        <item m="1" x="41"/>
        <item m="1" x="31"/>
        <item m="1" x="40"/>
        <item m="1" x="32"/>
        <item m="1" x="7"/>
        <item m="1" x="69"/>
        <item m="1" x="65"/>
        <item m="1" x="13"/>
        <item m="1" x="25"/>
        <item m="1" x="15"/>
        <item m="1" x="74"/>
        <item m="1" x="51"/>
        <item m="1" x="33"/>
        <item m="1" x="60"/>
        <item m="1" x="54"/>
        <item m="1" x="27"/>
        <item m="1" x="9"/>
        <item m="1" x="83"/>
        <item m="1" x="8"/>
        <item m="1" x="39"/>
        <item m="1" x="3"/>
        <item m="1" x="18"/>
        <item m="1" x="17"/>
        <item m="1" x="81"/>
        <item m="1" x="20"/>
        <item m="1" x="6"/>
        <item m="1" x="5"/>
        <item m="1" x="66"/>
        <item m="1" x="14"/>
        <item m="1" x="71"/>
        <item m="1" x="80"/>
        <item m="1" x="68"/>
        <item m="1" x="63"/>
        <item m="1" x="82"/>
        <item m="1" x="48"/>
        <item m="1" x="46"/>
        <item m="1" x="2"/>
        <item m="1" x="23"/>
        <item m="1" x="22"/>
        <item m="1" x="35"/>
        <item m="1" x="78"/>
        <item m="1" x="37"/>
        <item m="1" x="55"/>
        <item m="1" x="11"/>
        <item m="1" x="70"/>
        <item m="1" x="73"/>
        <item m="1" x="1"/>
        <item m="1" x="12"/>
        <item m="1" x="4"/>
        <item m="1" x="50"/>
        <item m="1" x="79"/>
        <item m="1" x="34"/>
        <item m="1" x="62"/>
        <item m="1" x="76"/>
        <item m="1" x="28"/>
        <item m="1" x="59"/>
        <item m="1" x="10"/>
        <item m="1" x="36"/>
        <item m="1" x="53"/>
        <item m="1" x="24"/>
        <item m="1" x="64"/>
        <item m="1" x="57"/>
        <item m="1" x="77"/>
        <item m="1" x="19"/>
        <item m="1" x="75"/>
        <item m="1" x="61"/>
        <item m="1" x="29"/>
        <item m="1" x="56"/>
        <item m="1" x="67"/>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numFmtId="1" outline="0" subtotalTop="0" showAll="0" defaultSubtotal="0">
      <extLst>
        <ext xmlns:x14="http://schemas.microsoft.com/office/spreadsheetml/2009/9/main" uri="{2946ED86-A175-432a-8AC1-64E0C546D7DE}">
          <x14:pivotField fillDownLabels="1"/>
        </ext>
      </extLst>
    </pivotField>
  </pivotFields>
  <rowFields count="6">
    <field x="67"/>
    <field x="9"/>
    <field x="10"/>
    <field x="18"/>
    <field x="14"/>
    <field x="16"/>
  </rowFields>
  <rowItems count="1">
    <i t="grand">
      <x/>
    </i>
  </rowItems>
  <colItems count="1">
    <i/>
  </colItems>
  <dataFields count="1">
    <dataField name="Sum of Sin Despacho" fld="71" baseField="0" baseItem="0"/>
  </dataFields>
  <formats count="114">
    <format dxfId="113">
      <pivotArea outline="0" collapsedLevelsAreSubtotals="1" fieldPosition="0"/>
    </format>
    <format dxfId="112">
      <pivotArea field="67" type="button" dataOnly="0" labelOnly="1" outline="0" axis="axisRow" fieldPosition="0"/>
    </format>
    <format dxfId="111">
      <pivotArea type="origin" dataOnly="0" labelOnly="1" outline="0" fieldPosition="0"/>
    </format>
    <format dxfId="110">
      <pivotArea type="all" dataOnly="0" outline="0" fieldPosition="0"/>
    </format>
    <format dxfId="109">
      <pivotArea type="origin" dataOnly="0" labelOnly="1" outline="0" fieldPosition="0"/>
    </format>
    <format dxfId="108">
      <pivotArea field="9" type="button" dataOnly="0" labelOnly="1" outline="0" axis="axisRow" fieldPosition="1"/>
    </format>
    <format dxfId="107">
      <pivotArea field="10" type="button" dataOnly="0" labelOnly="1" outline="0" axis="axisRow" fieldPosition="2"/>
    </format>
    <format dxfId="106">
      <pivotArea field="18" type="button" dataOnly="0" labelOnly="1" outline="0" axis="axisRow" fieldPosition="3"/>
    </format>
    <format dxfId="105">
      <pivotArea field="14" type="button" dataOnly="0" labelOnly="1" outline="0" axis="axisRow" fieldPosition="4"/>
    </format>
    <format dxfId="104">
      <pivotArea field="69" type="button" dataOnly="0" labelOnly="1" outline="0"/>
    </format>
    <format dxfId="103">
      <pivotArea field="16" type="button" dataOnly="0" labelOnly="1" outline="0" axis="axisRow" fieldPosition="5"/>
    </format>
    <format dxfId="102">
      <pivotArea dataOnly="0" labelOnly="1" outline="0" fieldPosition="0">
        <references count="1">
          <reference field="9"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01">
      <pivotArea dataOnly="0" labelOnly="1" outline="0" fieldPosition="0">
        <references count="1">
          <reference field="9" count="13">
            <x v="50"/>
            <x v="51"/>
            <x v="52"/>
            <x v="53"/>
            <x v="54"/>
            <x v="55"/>
            <x v="56"/>
            <x v="57"/>
            <x v="58"/>
            <x v="59"/>
            <x v="60"/>
            <x v="61"/>
            <x v="62"/>
          </reference>
        </references>
      </pivotArea>
    </format>
    <format dxfId="100">
      <pivotArea dataOnly="0" labelOnly="1" grandRow="1" outline="0" fieldPosition="0"/>
    </format>
    <format dxfId="99">
      <pivotArea dataOnly="0" labelOnly="1" outline="0" fieldPosition="0">
        <references count="2">
          <reference field="9" count="1" selected="0">
            <x v="0"/>
          </reference>
          <reference field="10" count="1">
            <x v="58"/>
          </reference>
        </references>
      </pivotArea>
    </format>
    <format dxfId="98">
      <pivotArea dataOnly="0" labelOnly="1" outline="0" fieldPosition="0">
        <references count="2">
          <reference field="9" count="1" selected="0">
            <x v="1"/>
          </reference>
          <reference field="10" count="1">
            <x v="57"/>
          </reference>
        </references>
      </pivotArea>
    </format>
    <format dxfId="97">
      <pivotArea dataOnly="0" labelOnly="1" outline="0" fieldPosition="0">
        <references count="2">
          <reference field="9" count="1" selected="0">
            <x v="2"/>
          </reference>
          <reference field="10" count="1">
            <x v="56"/>
          </reference>
        </references>
      </pivotArea>
    </format>
    <format dxfId="96">
      <pivotArea dataOnly="0" labelOnly="1" outline="0" fieldPosition="0">
        <references count="2">
          <reference field="9" count="1" selected="0">
            <x v="3"/>
          </reference>
          <reference field="10" count="1">
            <x v="55"/>
          </reference>
        </references>
      </pivotArea>
    </format>
    <format dxfId="95">
      <pivotArea dataOnly="0" labelOnly="1" outline="0" fieldPosition="0">
        <references count="2">
          <reference field="9" count="1" selected="0">
            <x v="4"/>
          </reference>
          <reference field="10" count="1">
            <x v="54"/>
          </reference>
        </references>
      </pivotArea>
    </format>
    <format dxfId="94">
      <pivotArea dataOnly="0" labelOnly="1" outline="0" fieldPosition="0">
        <references count="2">
          <reference field="9" count="1" selected="0">
            <x v="5"/>
          </reference>
          <reference field="10" count="1">
            <x v="59"/>
          </reference>
        </references>
      </pivotArea>
    </format>
    <format dxfId="93">
      <pivotArea dataOnly="0" labelOnly="1" outline="0" fieldPosition="0">
        <references count="2">
          <reference field="9" count="1" selected="0">
            <x v="6"/>
          </reference>
          <reference field="10" count="1">
            <x v="53"/>
          </reference>
        </references>
      </pivotArea>
    </format>
    <format dxfId="92">
      <pivotArea dataOnly="0" labelOnly="1" outline="0" fieldPosition="0">
        <references count="2">
          <reference field="9" count="1" selected="0">
            <x v="7"/>
          </reference>
          <reference field="10" count="1">
            <x v="60"/>
          </reference>
        </references>
      </pivotArea>
    </format>
    <format dxfId="91">
      <pivotArea dataOnly="0" labelOnly="1" outline="0" fieldPosition="0">
        <references count="2">
          <reference field="9" count="1" selected="0">
            <x v="8"/>
          </reference>
          <reference field="10" count="1">
            <x v="61"/>
          </reference>
        </references>
      </pivotArea>
    </format>
    <format dxfId="90">
      <pivotArea dataOnly="0" labelOnly="1" outline="0" fieldPosition="0">
        <references count="2">
          <reference field="9" count="1" selected="0">
            <x v="9"/>
          </reference>
          <reference field="10" count="1">
            <x v="62"/>
          </reference>
        </references>
      </pivotArea>
    </format>
    <format dxfId="89">
      <pivotArea dataOnly="0" labelOnly="1" outline="0" fieldPosition="0">
        <references count="2">
          <reference field="9" count="1" selected="0">
            <x v="10"/>
          </reference>
          <reference field="10" count="1">
            <x v="10"/>
          </reference>
        </references>
      </pivotArea>
    </format>
    <format dxfId="88">
      <pivotArea dataOnly="0" labelOnly="1" outline="0" fieldPosition="0">
        <references count="2">
          <reference field="9" count="1" selected="0">
            <x v="11"/>
          </reference>
          <reference field="10" count="1">
            <x v="14"/>
          </reference>
        </references>
      </pivotArea>
    </format>
    <format dxfId="87">
      <pivotArea dataOnly="0" labelOnly="1" outline="0" fieldPosition="0">
        <references count="2">
          <reference field="9" count="1" selected="0">
            <x v="12"/>
          </reference>
          <reference field="10" count="1">
            <x v="18"/>
          </reference>
        </references>
      </pivotArea>
    </format>
    <format dxfId="86">
      <pivotArea dataOnly="0" labelOnly="1" outline="0" fieldPosition="0">
        <references count="2">
          <reference field="9" count="1" selected="0">
            <x v="13"/>
          </reference>
          <reference field="10" count="1">
            <x v="22"/>
          </reference>
        </references>
      </pivotArea>
    </format>
    <format dxfId="85">
      <pivotArea dataOnly="0" labelOnly="1" outline="0" fieldPosition="0">
        <references count="2">
          <reference field="9" count="1" selected="0">
            <x v="14"/>
          </reference>
          <reference field="10" count="1">
            <x v="26"/>
          </reference>
        </references>
      </pivotArea>
    </format>
    <format dxfId="84">
      <pivotArea dataOnly="0" labelOnly="1" outline="0" fieldPosition="0">
        <references count="2">
          <reference field="9" count="1" selected="0">
            <x v="15"/>
          </reference>
          <reference field="10" count="1">
            <x v="30"/>
          </reference>
        </references>
      </pivotArea>
    </format>
    <format dxfId="83">
      <pivotArea dataOnly="0" labelOnly="1" outline="0" fieldPosition="0">
        <references count="2">
          <reference field="9" count="1" selected="0">
            <x v="16"/>
          </reference>
          <reference field="10" count="1">
            <x v="34"/>
          </reference>
        </references>
      </pivotArea>
    </format>
    <format dxfId="82">
      <pivotArea dataOnly="0" labelOnly="1" outline="0" fieldPosition="0">
        <references count="2">
          <reference field="9" count="1" selected="0">
            <x v="17"/>
          </reference>
          <reference field="10" count="1">
            <x v="38"/>
          </reference>
        </references>
      </pivotArea>
    </format>
    <format dxfId="81">
      <pivotArea dataOnly="0" labelOnly="1" outline="0" fieldPosition="0">
        <references count="2">
          <reference field="9" count="1" selected="0">
            <x v="18"/>
          </reference>
          <reference field="10" count="1">
            <x v="42"/>
          </reference>
        </references>
      </pivotArea>
    </format>
    <format dxfId="80">
      <pivotArea dataOnly="0" labelOnly="1" outline="0" fieldPosition="0">
        <references count="2">
          <reference field="9" count="1" selected="0">
            <x v="19"/>
          </reference>
          <reference field="10" count="1">
            <x v="46"/>
          </reference>
        </references>
      </pivotArea>
    </format>
    <format dxfId="79">
      <pivotArea dataOnly="0" labelOnly="1" outline="0" fieldPosition="0">
        <references count="2">
          <reference field="9" count="1" selected="0">
            <x v="20"/>
          </reference>
          <reference field="10" count="1">
            <x v="50"/>
          </reference>
        </references>
      </pivotArea>
    </format>
    <format dxfId="78">
      <pivotArea dataOnly="0" labelOnly="1" outline="0" fieldPosition="0">
        <references count="2">
          <reference field="9" count="1" selected="0">
            <x v="21"/>
          </reference>
          <reference field="10" count="1">
            <x v="11"/>
          </reference>
        </references>
      </pivotArea>
    </format>
    <format dxfId="77">
      <pivotArea dataOnly="0" labelOnly="1" outline="0" fieldPosition="0">
        <references count="2">
          <reference field="9" count="1" selected="0">
            <x v="22"/>
          </reference>
          <reference field="10" count="1">
            <x v="15"/>
          </reference>
        </references>
      </pivotArea>
    </format>
    <format dxfId="76">
      <pivotArea dataOnly="0" labelOnly="1" outline="0" fieldPosition="0">
        <references count="2">
          <reference field="9" count="1" selected="0">
            <x v="23"/>
          </reference>
          <reference field="10" count="1">
            <x v="19"/>
          </reference>
        </references>
      </pivotArea>
    </format>
    <format dxfId="75">
      <pivotArea dataOnly="0" labelOnly="1" outline="0" fieldPosition="0">
        <references count="2">
          <reference field="9" count="1" selected="0">
            <x v="24"/>
          </reference>
          <reference field="10" count="1">
            <x v="23"/>
          </reference>
        </references>
      </pivotArea>
    </format>
    <format dxfId="74">
      <pivotArea dataOnly="0" labelOnly="1" outline="0" fieldPosition="0">
        <references count="2">
          <reference field="9" count="1" selected="0">
            <x v="25"/>
          </reference>
          <reference field="10" count="1">
            <x v="27"/>
          </reference>
        </references>
      </pivotArea>
    </format>
    <format dxfId="73">
      <pivotArea dataOnly="0" labelOnly="1" outline="0" fieldPosition="0">
        <references count="2">
          <reference field="9" count="1" selected="0">
            <x v="26"/>
          </reference>
          <reference field="10" count="1">
            <x v="31"/>
          </reference>
        </references>
      </pivotArea>
    </format>
    <format dxfId="72">
      <pivotArea dataOnly="0" labelOnly="1" outline="0" fieldPosition="0">
        <references count="2">
          <reference field="9" count="1" selected="0">
            <x v="27"/>
          </reference>
          <reference field="10" count="1">
            <x v="35"/>
          </reference>
        </references>
      </pivotArea>
    </format>
    <format dxfId="71">
      <pivotArea dataOnly="0" labelOnly="1" outline="0" fieldPosition="0">
        <references count="2">
          <reference field="9" count="1" selected="0">
            <x v="28"/>
          </reference>
          <reference field="10" count="1">
            <x v="39"/>
          </reference>
        </references>
      </pivotArea>
    </format>
    <format dxfId="70">
      <pivotArea dataOnly="0" labelOnly="1" outline="0" fieldPosition="0">
        <references count="2">
          <reference field="9" count="1" selected="0">
            <x v="29"/>
          </reference>
          <reference field="10" count="1">
            <x v="43"/>
          </reference>
        </references>
      </pivotArea>
    </format>
    <format dxfId="69">
      <pivotArea dataOnly="0" labelOnly="1" outline="0" fieldPosition="0">
        <references count="2">
          <reference field="9" count="1" selected="0">
            <x v="30"/>
          </reference>
          <reference field="10" count="1">
            <x v="47"/>
          </reference>
        </references>
      </pivotArea>
    </format>
    <format dxfId="68">
      <pivotArea dataOnly="0" labelOnly="1" outline="0" fieldPosition="0">
        <references count="2">
          <reference field="9" count="1" selected="0">
            <x v="31"/>
          </reference>
          <reference field="10" count="1">
            <x v="51"/>
          </reference>
        </references>
      </pivotArea>
    </format>
    <format dxfId="67">
      <pivotArea dataOnly="0" labelOnly="1" outline="0" fieldPosition="0">
        <references count="2">
          <reference field="9" count="1" selected="0">
            <x v="32"/>
          </reference>
          <reference field="10" count="1">
            <x v="12"/>
          </reference>
        </references>
      </pivotArea>
    </format>
    <format dxfId="66">
      <pivotArea dataOnly="0" labelOnly="1" outline="0" fieldPosition="0">
        <references count="2">
          <reference field="9" count="1" selected="0">
            <x v="33"/>
          </reference>
          <reference field="10" count="1">
            <x v="16"/>
          </reference>
        </references>
      </pivotArea>
    </format>
    <format dxfId="65">
      <pivotArea dataOnly="0" labelOnly="1" outline="0" fieldPosition="0">
        <references count="2">
          <reference field="9" count="1" selected="0">
            <x v="34"/>
          </reference>
          <reference field="10" count="1">
            <x v="20"/>
          </reference>
        </references>
      </pivotArea>
    </format>
    <format dxfId="64">
      <pivotArea dataOnly="0" labelOnly="1" outline="0" fieldPosition="0">
        <references count="2">
          <reference field="9" count="1" selected="0">
            <x v="35"/>
          </reference>
          <reference field="10" count="1">
            <x v="24"/>
          </reference>
        </references>
      </pivotArea>
    </format>
    <format dxfId="63">
      <pivotArea dataOnly="0" labelOnly="1" outline="0" fieldPosition="0">
        <references count="2">
          <reference field="9" count="1" selected="0">
            <x v="36"/>
          </reference>
          <reference field="10" count="1">
            <x v="28"/>
          </reference>
        </references>
      </pivotArea>
    </format>
    <format dxfId="62">
      <pivotArea dataOnly="0" labelOnly="1" outline="0" fieldPosition="0">
        <references count="2">
          <reference field="9" count="1" selected="0">
            <x v="37"/>
          </reference>
          <reference field="10" count="1">
            <x v="32"/>
          </reference>
        </references>
      </pivotArea>
    </format>
    <format dxfId="61">
      <pivotArea dataOnly="0" labelOnly="1" outline="0" fieldPosition="0">
        <references count="2">
          <reference field="9" count="1" selected="0">
            <x v="38"/>
          </reference>
          <reference field="10" count="1">
            <x v="36"/>
          </reference>
        </references>
      </pivotArea>
    </format>
    <format dxfId="60">
      <pivotArea dataOnly="0" labelOnly="1" outline="0" fieldPosition="0">
        <references count="2">
          <reference field="9" count="1" selected="0">
            <x v="39"/>
          </reference>
          <reference field="10" count="1">
            <x v="40"/>
          </reference>
        </references>
      </pivotArea>
    </format>
    <format dxfId="59">
      <pivotArea dataOnly="0" labelOnly="1" outline="0" fieldPosition="0">
        <references count="2">
          <reference field="9" count="1" selected="0">
            <x v="40"/>
          </reference>
          <reference field="10" count="1">
            <x v="44"/>
          </reference>
        </references>
      </pivotArea>
    </format>
    <format dxfId="58">
      <pivotArea dataOnly="0" labelOnly="1" outline="0" fieldPosition="0">
        <references count="2">
          <reference field="9" count="1" selected="0">
            <x v="41"/>
          </reference>
          <reference field="10" count="1">
            <x v="48"/>
          </reference>
        </references>
      </pivotArea>
    </format>
    <format dxfId="57">
      <pivotArea dataOnly="0" labelOnly="1" outline="0" fieldPosition="0">
        <references count="2">
          <reference field="9" count="1" selected="0">
            <x v="42"/>
          </reference>
          <reference field="10" count="1">
            <x v="52"/>
          </reference>
        </references>
      </pivotArea>
    </format>
    <format dxfId="56">
      <pivotArea dataOnly="0" labelOnly="1" outline="0" fieldPosition="0">
        <references count="2">
          <reference field="9" count="1" selected="0">
            <x v="43"/>
          </reference>
          <reference field="10" count="1">
            <x v="9"/>
          </reference>
        </references>
      </pivotArea>
    </format>
    <format dxfId="55">
      <pivotArea dataOnly="0" labelOnly="1" outline="0" fieldPosition="0">
        <references count="2">
          <reference field="9" count="1" selected="0">
            <x v="44"/>
          </reference>
          <reference field="10" count="1">
            <x v="13"/>
          </reference>
        </references>
      </pivotArea>
    </format>
    <format dxfId="54">
      <pivotArea dataOnly="0" labelOnly="1" outline="0" fieldPosition="0">
        <references count="2">
          <reference field="9" count="1" selected="0">
            <x v="45"/>
          </reference>
          <reference field="10" count="1">
            <x v="17"/>
          </reference>
        </references>
      </pivotArea>
    </format>
    <format dxfId="53">
      <pivotArea dataOnly="0" labelOnly="1" outline="0" fieldPosition="0">
        <references count="2">
          <reference field="9" count="1" selected="0">
            <x v="46"/>
          </reference>
          <reference field="10" count="1">
            <x v="21"/>
          </reference>
        </references>
      </pivotArea>
    </format>
    <format dxfId="52">
      <pivotArea dataOnly="0" labelOnly="1" outline="0" fieldPosition="0">
        <references count="2">
          <reference field="9" count="1" selected="0">
            <x v="47"/>
          </reference>
          <reference field="10" count="1">
            <x v="25"/>
          </reference>
        </references>
      </pivotArea>
    </format>
    <format dxfId="51">
      <pivotArea dataOnly="0" labelOnly="1" outline="0" fieldPosition="0">
        <references count="2">
          <reference field="9" count="1" selected="0">
            <x v="48"/>
          </reference>
          <reference field="10" count="1">
            <x v="29"/>
          </reference>
        </references>
      </pivotArea>
    </format>
    <format dxfId="50">
      <pivotArea dataOnly="0" labelOnly="1" outline="0" fieldPosition="0">
        <references count="2">
          <reference field="9" count="1" selected="0">
            <x v="49"/>
          </reference>
          <reference field="10" count="1">
            <x v="33"/>
          </reference>
        </references>
      </pivotArea>
    </format>
    <format dxfId="49">
      <pivotArea dataOnly="0" labelOnly="1" outline="0" fieldPosition="0">
        <references count="2">
          <reference field="9" count="1" selected="0">
            <x v="50"/>
          </reference>
          <reference field="10" count="1">
            <x v="37"/>
          </reference>
        </references>
      </pivotArea>
    </format>
    <format dxfId="48">
      <pivotArea dataOnly="0" labelOnly="1" outline="0" fieldPosition="0">
        <references count="2">
          <reference field="9" count="1" selected="0">
            <x v="51"/>
          </reference>
          <reference field="10" count="1">
            <x v="41"/>
          </reference>
        </references>
      </pivotArea>
    </format>
    <format dxfId="47">
      <pivotArea dataOnly="0" labelOnly="1" outline="0" fieldPosition="0">
        <references count="2">
          <reference field="9" count="1" selected="0">
            <x v="52"/>
          </reference>
          <reference field="10" count="1">
            <x v="45"/>
          </reference>
        </references>
      </pivotArea>
    </format>
    <format dxfId="46">
      <pivotArea dataOnly="0" labelOnly="1" outline="0" fieldPosition="0">
        <references count="2">
          <reference field="9" count="1" selected="0">
            <x v="53"/>
          </reference>
          <reference field="10" count="1">
            <x v="49"/>
          </reference>
        </references>
      </pivotArea>
    </format>
    <format dxfId="45">
      <pivotArea dataOnly="0" labelOnly="1" outline="0" fieldPosition="0">
        <references count="2">
          <reference field="9" count="1" selected="0">
            <x v="54"/>
          </reference>
          <reference field="10" count="1">
            <x v="4"/>
          </reference>
        </references>
      </pivotArea>
    </format>
    <format dxfId="44">
      <pivotArea dataOnly="0" labelOnly="1" outline="0" fieldPosition="0">
        <references count="2">
          <reference field="9" count="1" selected="0">
            <x v="55"/>
          </reference>
          <reference field="10" count="1">
            <x v="5"/>
          </reference>
        </references>
      </pivotArea>
    </format>
    <format dxfId="43">
      <pivotArea dataOnly="0" labelOnly="1" outline="0" fieldPosition="0">
        <references count="2">
          <reference field="9" count="1" selected="0">
            <x v="56"/>
          </reference>
          <reference field="10" count="1">
            <x v="6"/>
          </reference>
        </references>
      </pivotArea>
    </format>
    <format dxfId="42">
      <pivotArea dataOnly="0" labelOnly="1" outline="0" fieldPosition="0">
        <references count="2">
          <reference field="9" count="1" selected="0">
            <x v="57"/>
          </reference>
          <reference field="10" count="1">
            <x v="7"/>
          </reference>
        </references>
      </pivotArea>
    </format>
    <format dxfId="41">
      <pivotArea dataOnly="0" labelOnly="1" outline="0" fieldPosition="0">
        <references count="2">
          <reference field="9" count="1" selected="0">
            <x v="58"/>
          </reference>
          <reference field="10" count="1">
            <x v="0"/>
          </reference>
        </references>
      </pivotArea>
    </format>
    <format dxfId="40">
      <pivotArea dataOnly="0" labelOnly="1" outline="0" fieldPosition="0">
        <references count="2">
          <reference field="9" count="1" selected="0">
            <x v="59"/>
          </reference>
          <reference field="10" count="1">
            <x v="1"/>
          </reference>
        </references>
      </pivotArea>
    </format>
    <format dxfId="39">
      <pivotArea dataOnly="0" labelOnly="1" outline="0" fieldPosition="0">
        <references count="2">
          <reference field="9" count="1" selected="0">
            <x v="60"/>
          </reference>
          <reference field="10" count="1">
            <x v="2"/>
          </reference>
        </references>
      </pivotArea>
    </format>
    <format dxfId="38">
      <pivotArea dataOnly="0" labelOnly="1" outline="0" fieldPosition="0">
        <references count="2">
          <reference field="9" count="1" selected="0">
            <x v="61"/>
          </reference>
          <reference field="10" count="1">
            <x v="3"/>
          </reference>
        </references>
      </pivotArea>
    </format>
    <format dxfId="37">
      <pivotArea dataOnly="0" labelOnly="1" outline="0" fieldPosition="0">
        <references count="2">
          <reference field="9" count="1" selected="0">
            <x v="62"/>
          </reference>
          <reference field="10" count="1">
            <x v="8"/>
          </reference>
        </references>
      </pivotArea>
    </format>
    <format dxfId="36">
      <pivotArea type="topRight" dataOnly="0" labelOnly="1" outline="0" fieldPosition="0"/>
    </format>
    <format dxfId="35">
      <pivotArea field="18" type="button" dataOnly="0" labelOnly="1" outline="0" axis="axisRow" fieldPosition="3"/>
    </format>
    <format dxfId="34">
      <pivotArea outline="0" collapsedLevelsAreSubtotals="1" fieldPosition="0"/>
    </format>
    <format dxfId="33">
      <pivotArea field="9" type="button" dataOnly="0" labelOnly="1" outline="0" axis="axisRow" fieldPosition="1"/>
    </format>
    <format dxfId="32">
      <pivotArea field="10" type="button" dataOnly="0" labelOnly="1" outline="0" axis="axisRow" fieldPosition="2"/>
    </format>
    <format dxfId="31">
      <pivotArea field="18" type="button" dataOnly="0" labelOnly="1" outline="0" axis="axisRow" fieldPosition="3"/>
    </format>
    <format dxfId="30">
      <pivotArea field="14" type="button" dataOnly="0" labelOnly="1" outline="0" axis="axisRow" fieldPosition="4"/>
    </format>
    <format dxfId="29">
      <pivotArea field="69" type="button" dataOnly="0" labelOnly="1" outline="0"/>
    </format>
    <format dxfId="28">
      <pivotArea field="16" type="button" dataOnly="0" labelOnly="1" outline="0" axis="axisRow" fieldPosition="5"/>
    </format>
    <format dxfId="27">
      <pivotArea field="2" type="button" dataOnly="0" labelOnly="1" outline="0"/>
    </format>
    <format dxfId="26">
      <pivotArea type="all" dataOnly="0" outline="0" fieldPosition="0"/>
    </format>
    <format dxfId="25">
      <pivotArea outline="0" collapsedLevelsAreSubtotals="1" fieldPosition="0"/>
    </format>
    <format dxfId="24">
      <pivotArea type="origin" dataOnly="0" labelOnly="1" outline="0" fieldPosition="0"/>
    </format>
    <format dxfId="23">
      <pivotArea field="2" type="button" dataOnly="0" labelOnly="1" outline="0"/>
    </format>
    <format dxfId="22">
      <pivotArea field="9" type="button" dataOnly="0" labelOnly="1" outline="0" axis="axisRow" fieldPosition="1"/>
    </format>
    <format dxfId="21">
      <pivotArea field="10" type="button" dataOnly="0" labelOnly="1" outline="0" axis="axisRow" fieldPosition="2"/>
    </format>
    <format dxfId="20">
      <pivotArea field="18" type="button" dataOnly="0" labelOnly="1" outline="0" axis="axisRow" fieldPosition="3"/>
    </format>
    <format dxfId="19">
      <pivotArea field="14" type="button" dataOnly="0" labelOnly="1" outline="0" axis="axisRow" fieldPosition="4"/>
    </format>
    <format dxfId="18">
      <pivotArea field="69" type="button" dataOnly="0" labelOnly="1" outline="0"/>
    </format>
    <format dxfId="17">
      <pivotArea field="16" type="button" dataOnly="0" labelOnly="1" outline="0" axis="axisRow" fieldPosition="5"/>
    </format>
    <format dxfId="16">
      <pivotArea dataOnly="0" labelOnly="1" grandRow="1" outline="0" fieldPosition="0"/>
    </format>
    <format dxfId="15">
      <pivotArea type="topRight" dataOnly="0" labelOnly="1" outline="0" fieldPosition="0"/>
    </format>
    <format dxfId="14">
      <pivotArea type="all" dataOnly="0" outline="0" fieldPosition="0"/>
    </format>
    <format dxfId="13">
      <pivotArea outline="0" collapsedLevelsAreSubtotals="1" fieldPosition="0"/>
    </format>
    <format dxfId="12">
      <pivotArea type="origin" dataOnly="0" labelOnly="1" outline="0" fieldPosition="0"/>
    </format>
    <format dxfId="11">
      <pivotArea field="2" type="button" dataOnly="0" labelOnly="1" outline="0"/>
    </format>
    <format dxfId="10">
      <pivotArea field="9" type="button" dataOnly="0" labelOnly="1" outline="0" axis="axisRow" fieldPosition="1"/>
    </format>
    <format dxfId="9">
      <pivotArea field="10" type="button" dataOnly="0" labelOnly="1" outline="0" axis="axisRow" fieldPosition="2"/>
    </format>
    <format dxfId="8">
      <pivotArea field="18" type="button" dataOnly="0" labelOnly="1" outline="0" axis="axisRow" fieldPosition="3"/>
    </format>
    <format dxfId="7">
      <pivotArea field="14" type="button" dataOnly="0" labelOnly="1" outline="0" axis="axisRow" fieldPosition="4"/>
    </format>
    <format dxfId="6">
      <pivotArea field="69" type="button" dataOnly="0" labelOnly="1" outline="0"/>
    </format>
    <format dxfId="5">
      <pivotArea field="16" type="button" dataOnly="0" labelOnly="1" outline="0" axis="axisRow" fieldPosition="5"/>
    </format>
    <format dxfId="4">
      <pivotArea dataOnly="0" labelOnly="1" grandRow="1" outline="0" fieldPosition="0"/>
    </format>
    <format dxfId="3">
      <pivotArea type="topRight" dataOnly="0" labelOnly="1" outline="0" fieldPosition="0"/>
    </format>
    <format dxfId="2">
      <pivotArea field="18" type="button" dataOnly="0" labelOnly="1" outline="0" axis="axisRow" fieldPosition="3"/>
    </format>
    <format dxfId="1">
      <pivotArea type="origin" dataOnly="0" labelOnly="1" outline="0" fieldPosition="0"/>
    </format>
    <format dxfId="0">
      <pivotArea dataOnly="0" labelOnly="1" outline="0" fieldPosition="0">
        <references count="1">
          <reference field="18" count="0"/>
        </references>
      </pivotArea>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hip_To___City" sourceName="Ship To - City">
  <pivotTables>
    <pivotTable tabId="3" name="FillRate"/>
    <pivotTable tabId="26" name="DiferenciaPrecio"/>
    <pivotTable tabId="24" name="Agotado"/>
    <pivotTable tabId="25" name="Descontinuado"/>
    <pivotTable tabId="9" name="SinNovedad"/>
    <pivotTable tabId="28" name="Agotado"/>
  </pivotTables>
  <data>
    <tabular pivotCacheId="80174994">
      <items count="7">
        <i x="3" s="1" nd="1"/>
        <i x="4" s="1" nd="1"/>
        <i x="1" s="1" nd="1"/>
        <i x="2" s="1" nd="1"/>
        <i x="6" s="1" nd="1"/>
        <i x="5" s="1" nd="1"/>
        <i x="0"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ustomer_PO" sourceName="Customer PO">
  <pivotTables>
    <pivotTable tabId="3" name="FillRate"/>
    <pivotTable tabId="26" name="DiferenciaPrecio"/>
    <pivotTable tabId="24" name="Agotado"/>
    <pivotTable tabId="25" name="Descontinuado"/>
    <pivotTable tabId="9" name="SinNovedad"/>
    <pivotTable tabId="28" name="Agotado"/>
  </pivotTables>
  <data>
    <tabular pivotCacheId="80174994">
      <items count="83">
        <i x="11" s="1" nd="1"/>
        <i x="35" s="1" nd="1"/>
        <i x="49" s="1" nd="1"/>
        <i x="71" s="1" nd="1"/>
        <i x="64" s="1" nd="1"/>
        <i x="81" s="1" nd="1"/>
        <i x="20" s="1" nd="1"/>
        <i x="2" s="1" nd="1"/>
        <i x="15" s="1" nd="1"/>
        <i x="25" s="1" nd="1"/>
        <i x="26" s="1" nd="1"/>
        <i x="27" s="1" nd="1"/>
        <i x="28" s="1" nd="1"/>
        <i x="66" s="1" nd="1"/>
        <i x="67" s="1" nd="1"/>
        <i x="68" s="1" nd="1"/>
        <i x="69" s="1" nd="1"/>
        <i x="34" s="1" nd="1"/>
        <i x="36" s="1" nd="1"/>
        <i x="38" s="1" nd="1"/>
        <i x="39" s="1" nd="1"/>
        <i x="7" s="1" nd="1"/>
        <i x="10" s="1" nd="1"/>
        <i x="52" s="1" nd="1"/>
        <i x="54" s="1" nd="1"/>
        <i x="73" s="1" nd="1"/>
        <i x="76" s="1" nd="1"/>
        <i x="77" s="1" nd="1"/>
        <i x="80" s="1" nd="1"/>
        <i x="12" s="1" nd="1"/>
        <i x="55" s="1" nd="1"/>
        <i x="56" s="1" nd="1"/>
        <i x="57" s="1" nd="1"/>
        <i x="44" s="1" nd="1"/>
        <i x="46" s="1" nd="1"/>
        <i x="16" s="1" nd="1"/>
        <i x="17" s="1" nd="1"/>
        <i x="45" s="1" nd="1"/>
        <i x="48" s="1" nd="1"/>
        <i x="50" s="1" nd="1"/>
        <i x="51" s="1" nd="1"/>
        <i x="13" s="1" nd="1"/>
        <i x="14" s="1" nd="1"/>
        <i x="59" s="1" nd="1"/>
        <i x="61" s="1" nd="1"/>
        <i x="1" s="1" nd="1"/>
        <i x="3" s="1" nd="1"/>
        <i x="4" s="1" nd="1"/>
        <i x="47" s="1" nd="1"/>
        <i x="22" s="1" nd="1"/>
        <i x="23" s="1" nd="1"/>
        <i x="72" s="1" nd="1"/>
        <i x="74" s="1" nd="1"/>
        <i x="21" s="1" nd="1"/>
        <i x="78" s="1" nd="1"/>
        <i x="37" s="1" nd="1"/>
        <i x="58" s="1" nd="1"/>
        <i x="60" s="1" nd="1"/>
        <i x="8" s="1" nd="1"/>
        <i x="9" s="1" nd="1"/>
        <i x="30" s="1" nd="1"/>
        <i x="82" s="1" nd="1"/>
        <i x="75" s="1" nd="1"/>
        <i x="41" s="1" nd="1"/>
        <i x="62" s="1" nd="1"/>
        <i x="31" s="1" nd="1"/>
        <i x="19" s="1" nd="1"/>
        <i x="79" s="1" nd="1"/>
        <i x="18" s="1" nd="1"/>
        <i x="29" s="1" nd="1"/>
        <i x="32" s="1" nd="1"/>
        <i x="33" s="1" nd="1"/>
        <i x="5" s="1" nd="1"/>
        <i x="63" s="1" nd="1"/>
        <i x="65" s="1" nd="1"/>
        <i x="24" s="1" nd="1"/>
        <i x="42" s="1" nd="1"/>
        <i x="43" s="1" nd="1"/>
        <i x="6" s="1" nd="1"/>
        <i x="53" s="1" nd="1"/>
        <i x="40" s="1" nd="1"/>
        <i x="70" s="1" nd="1"/>
        <i x="0"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les_Doc._Creation" sourceName="Sales Doc. Creation">
  <pivotTables>
    <pivotTable tabId="3" name="FillRate"/>
    <pivotTable tabId="26" name="DiferenciaPrecio"/>
    <pivotTable tabId="24" name="Agotado"/>
    <pivotTable tabId="25" name="Descontinuado"/>
    <pivotTable tabId="9" name="SinNovedad"/>
    <pivotTable tabId="28" name="Agotado"/>
  </pivotTables>
  <data>
    <tabular pivotCacheId="80174994">
      <items count="35">
        <i x="34" s="1" nd="1"/>
        <i x="23" s="1" nd="1"/>
        <i x="21" s="1" nd="1"/>
        <i x="8" s="1" nd="1"/>
        <i x="30" s="1" nd="1"/>
        <i x="12" s="1" nd="1"/>
        <i x="6" s="1" nd="1"/>
        <i x="28" s="1" nd="1"/>
        <i x="11" s="1" nd="1"/>
        <i x="26" s="1" nd="1"/>
        <i x="4" s="1" nd="1"/>
        <i x="19" s="1" nd="1"/>
        <i x="33" s="1" nd="1"/>
        <i x="9" s="1" nd="1"/>
        <i x="25" s="1" nd="1"/>
        <i x="1" s="1" nd="1"/>
        <i x="17" s="1" nd="1"/>
        <i x="32" s="1" nd="1"/>
        <i x="3" s="1" nd="1"/>
        <i x="18" s="1" nd="1"/>
        <i x="13" s="1" nd="1"/>
        <i x="27" s="1" nd="1"/>
        <i x="14" s="1" nd="1"/>
        <i x="20" s="1" nd="1"/>
        <i x="10" s="1" nd="1"/>
        <i x="16" s="1" nd="1"/>
        <i x="5" s="1" nd="1"/>
        <i x="15" s="1" nd="1"/>
        <i x="31" s="1" nd="1"/>
        <i x="7" s="1" nd="1"/>
        <i x="24" s="1" nd="1"/>
        <i x="29" s="1" nd="1"/>
        <i x="22" s="1" nd="1"/>
        <i x="2" s="1" nd="1"/>
        <i x="0"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hip To - City" cache="Slicer_Ship_To___City" caption="Ship To - City" columnCount="3" style="Opella" rowHeight="241300"/>
  <slicer name="Customer PO" cache="Slicer_Customer_PO" caption="Orden de Compra" style="Opella" rowHeight="241300"/>
  <slicer name="Sales Doc. Creation" cache="Slicer_Sales_Doc._Creation" caption="Fecha Frecuencia" style="Opella" rowHeight="241300"/>
</slicers>
</file>

<file path=xl/tables/table1.xml><?xml version="1.0" encoding="utf-8"?>
<table xmlns="http://schemas.openxmlformats.org/spreadsheetml/2006/main" id="2" name="Table2" displayName="Table2" ref="A2:BT3" insertRow="1" totalsRowShown="0" headerRowDxfId="2139" dataDxfId="2138">
  <autoFilter ref="A2:BT3"/>
  <tableColumns count="72">
    <tableColumn id="1" name="Sales Org" dataDxfId="2137"/>
    <tableColumn id="2" name="Company Code" dataDxfId="2136"/>
    <tableColumn id="3" name="Canal" dataDxfId="2135"/>
    <tableColumn id="4" name="Sold To Name" dataDxfId="2134"/>
    <tableColumn id="5" name="Sold To" dataDxfId="2133"/>
    <tableColumn id="6" name="Ship To" dataDxfId="2132"/>
    <tableColumn id="7" name="Ship To - City" dataDxfId="2131"/>
    <tableColumn id="8" name="Ship To - Country" dataDxfId="2130"/>
    <tableColumn id="9" name="Document Type" dataDxfId="2129"/>
    <tableColumn id="10" name="Sales Document" dataDxfId="2128"/>
    <tableColumn id="11" name="Customer PO" dataDxfId="2127"/>
    <tableColumn id="12" name="Delivery Doc." dataDxfId="2126"/>
    <tableColumn id="13" name="Invoice Doc." dataDxfId="2125"/>
    <tableColumn id="14" name="Item" dataDxfId="2124"/>
    <tableColumn id="15" name="GMID" dataDxfId="2123"/>
    <tableColumn id="16" name="Description" dataDxfId="2122"/>
    <tableColumn id="17" name="Local Description" dataDxfId="2121"/>
    <tableColumn id="18" name="Family" dataDxfId="2120"/>
    <tableColumn id="19" name="EAN Code" dataDxfId="2119"/>
    <tableColumn id="20" name="Sales Doc. Creation" dataDxfId="2118"/>
    <tableColumn id="21" name="Days Sales order--&gt; Delivery" dataDxfId="2117"/>
    <tableColumn id="22" name="Delivery Creation" dataDxfId="2116"/>
    <tableColumn id="23" name="Days Delivery --&gt; Good Issue" dataDxfId="2115"/>
    <tableColumn id="24" name="Goods Issue" dataDxfId="2114"/>
    <tableColumn id="25" name="PGI" dataDxfId="2113"/>
    <tableColumn id="26" name="Days Good issue --&gt; Invoice" dataDxfId="2112"/>
    <tableColumn id="27" name="Invoice" dataDxfId="2111"/>
    <tableColumn id="28" name="POD" dataDxfId="2110"/>
    <tableColumn id="29" name="Req. Delivery" dataDxfId="2109"/>
    <tableColumn id="30" name="Arrange date of arrival" dataDxfId="2108"/>
    <tableColumn id="31" name="Delivery Block" dataDxfId="2107"/>
    <tableColumn id="32" name="Rejection Code" dataDxfId="2106"/>
    <tableColumn id="33" name="Rejection Reason" dataDxfId="2105"/>
    <tableColumn id="34" name="Type" dataDxfId="2104"/>
    <tableColumn id="35" name="Ordered" dataDxfId="2103"/>
    <tableColumn id="36" name="Invoiced" dataDxfId="2102"/>
    <tableColumn id="37" name="Invoiced - BO Retaken" dataDxfId="2101"/>
    <tableColumn id="38" name="Invoiced in advance" dataDxfId="2100"/>
    <tableColumn id="39" name="Delivered" dataDxfId="2099"/>
    <tableColumn id="40" name="To be processed" dataDxfId="2098"/>
    <tableColumn id="41" name="To be delivered" dataDxfId="2097"/>
    <tableColumn id="42" name="Picking" dataDxfId="2096"/>
    <tableColumn id="43" name="Backorder" dataDxfId="2095"/>
    <tableColumn id="44" name="Rupture" dataDxfId="2094"/>
    <tableColumn id="45" name="Reorder" dataDxfId="2093"/>
    <tableColumn id="46" name="Stock Allocation" dataDxfId="2092"/>
    <tableColumn id="47" name="Oversales" dataDxfId="2091"/>
    <tableColumn id="48" name="Discontinued" dataDxfId="2090"/>
    <tableColumn id="49" name="Others RR" dataDxfId="2089"/>
    <tableColumn id="50" name="Credit Limit" dataDxfId="2088"/>
    <tableColumn id="51" name="Returns" dataDxfId="2087"/>
    <tableColumn id="52" name="Without RR" dataDxfId="2086"/>
    <tableColumn id="53" name="FR No RR Assigned" dataDxfId="2085"/>
    <tableColumn id="63" name="FR Ordered excluding" dataDxfId="2084"/>
    <tableColumn id="72" name="FR Ordered wo excluding" dataDxfId="2083"/>
    <tableColumn id="71" name="Invoice Sales" dataDxfId="2082"/>
    <tableColumn id="70" name="Masterpack" dataDxfId="2081"/>
    <tableColumn id="69" name="Column10" dataDxfId="2080"/>
    <tableColumn id="68" name="Column9" dataDxfId="2079"/>
    <tableColumn id="67" name="Column8" dataDxfId="2078"/>
    <tableColumn id="66" name="Column7" dataDxfId="2077"/>
    <tableColumn id="65" name="Column6" dataDxfId="2076"/>
    <tableColumn id="64" name="Column5" dataDxfId="2075"/>
    <tableColumn id="62" name="Column4" dataDxfId="2074"/>
    <tableColumn id="59" name="Column3" dataDxfId="2073"/>
    <tableColumn id="57" name="Column2" dataDxfId="2072"/>
    <tableColumn id="54" name="Column1" dataDxfId="2071"/>
    <tableColumn id="55" name="Status" dataDxfId="2070">
      <calculatedColumnFormula>+VLOOKUP(Table2[[#This Row],[Rejection Code]],#REF!,3,FALSE)</calculatedColumnFormula>
    </tableColumn>
    <tableColumn id="61" name="KeyPLU" dataDxfId="2069">
      <calculatedColumnFormula>+Table2[[#This Row],[Sold To]]&amp;Table2[[#This Row],[EAN Code]]&amp;Table2[[#This Row],[Canal]]</calculatedColumnFormula>
    </tableColumn>
    <tableColumn id="58" name="PLU" dataDxfId="2068">
      <calculatedColumnFormula>+VLOOKUP(Table2[[#This Row],[KeyPLU]],#REF!,7,FALSE)</calculatedColumnFormula>
    </tableColumn>
    <tableColumn id="60" name="Fullbox" dataDxfId="2067">
      <calculatedColumnFormula>+IFERROR(IF(INT(Table2[[#This Row],[Ordered]]/Table2[[#This Row],[Masterpack]])=Table2[[#This Row],[Ordered]]/Table2[[#This Row],[Masterpack]],"Full Box","NO Full Box"),"Sin Datos")</calculatedColumnFormula>
    </tableColumn>
    <tableColumn id="56" name="Sin Despacho" dataDxfId="2066">
      <calculatedColumnFormula>+Table2[[#This Row],[Ordered]]-Table2[[#This Row],[Invoice Sales]]</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1.bin"/><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3"/>
  <sheetViews>
    <sheetView zoomScale="70" zoomScaleNormal="70" zoomScaleSheetLayoutView="100" workbookViewId="0">
      <selection activeCell="D39" sqref="D39"/>
    </sheetView>
  </sheetViews>
  <sheetFormatPr baseColWidth="10" defaultColWidth="10.85546875" defaultRowHeight="14.25"/>
  <cols>
    <col min="1" max="1" width="13.5703125" style="17" bestFit="1" customWidth="1"/>
    <col min="2" max="2" width="25.140625" style="17" bestFit="1" customWidth="1"/>
    <col min="3" max="3" width="11.7109375" style="17" bestFit="1" customWidth="1"/>
    <col min="4" max="4" width="85.85546875" style="17" bestFit="1" customWidth="1"/>
    <col min="5" max="6" width="11.5703125" style="17" bestFit="1" customWidth="1"/>
    <col min="7" max="7" width="17.28515625" style="17" bestFit="1" customWidth="1"/>
    <col min="8" max="8" width="21.140625" style="17" bestFit="1" customWidth="1"/>
    <col min="9" max="9" width="19.5703125" style="17" bestFit="1" customWidth="1"/>
    <col min="10" max="10" width="20.140625" style="17" bestFit="1" customWidth="1"/>
    <col min="11" max="11" width="17.85546875" style="17" bestFit="1" customWidth="1"/>
    <col min="12" max="12" width="17" style="19" bestFit="1" customWidth="1"/>
    <col min="13" max="13" width="16.28515625" style="17" bestFit="1" customWidth="1"/>
    <col min="14" max="14" width="8.5703125" style="18" bestFit="1" customWidth="1"/>
    <col min="15" max="15" width="9.42578125" style="18" bestFit="1" customWidth="1"/>
    <col min="16" max="16" width="49.28515625" style="17" bestFit="1" customWidth="1"/>
    <col min="17" max="17" width="48.85546875" style="19" bestFit="1" customWidth="1"/>
    <col min="18" max="18" width="17.85546875" style="19" bestFit="1" customWidth="1"/>
    <col min="19" max="19" width="19.85546875" style="18" bestFit="1" customWidth="1"/>
    <col min="20" max="20" width="23.5703125" style="17" bestFit="1" customWidth="1"/>
    <col min="21" max="21" width="21.140625" style="17" bestFit="1" customWidth="1"/>
    <col min="22" max="22" width="16.140625" style="17" bestFit="1" customWidth="1"/>
    <col min="23" max="25" width="13.140625" style="17" bestFit="1" customWidth="1"/>
    <col min="26" max="26" width="17" style="17" bestFit="1" customWidth="1"/>
    <col min="27" max="27" width="26.28515625" style="17" bestFit="1" customWidth="1"/>
    <col min="28" max="28" width="18.140625" style="17" bestFit="1" customWidth="1"/>
    <col min="29" max="29" width="35.140625" style="17" bestFit="1" customWidth="1"/>
    <col min="30" max="30" width="26.140625" style="17" bestFit="1" customWidth="1"/>
    <col min="31" max="31" width="9.140625" style="17" bestFit="1" customWidth="1"/>
    <col min="32" max="32" width="12.140625" style="17" bestFit="1" customWidth="1"/>
    <col min="33" max="33" width="12.28515625" style="17" bestFit="1" customWidth="1"/>
    <col min="34" max="34" width="25.5703125" style="17" bestFit="1" customWidth="1"/>
    <col min="35" max="35" width="23.5703125" style="17" bestFit="1" customWidth="1"/>
    <col min="36" max="36" width="13.5703125" style="17" bestFit="1" customWidth="1"/>
    <col min="37" max="37" width="20.5703125" style="17" bestFit="1" customWidth="1"/>
    <col min="38" max="38" width="19.42578125" style="17" bestFit="1" customWidth="1"/>
    <col min="39" max="39" width="11.42578125" style="17" bestFit="1" customWidth="1"/>
    <col min="40" max="40" width="14.28515625" style="17" bestFit="1" customWidth="1"/>
    <col min="41" max="42" width="12.140625" style="17" bestFit="1" customWidth="1"/>
    <col min="43" max="43" width="20.42578125" style="17" bestFit="1" customWidth="1"/>
    <col min="44" max="44" width="14" style="17" bestFit="1" customWidth="1"/>
    <col min="45" max="45" width="17.140625" style="17" bestFit="1" customWidth="1"/>
    <col min="46" max="46" width="14.140625" style="17" bestFit="1" customWidth="1"/>
    <col min="47" max="47" width="15.7109375" style="17" bestFit="1" customWidth="1"/>
    <col min="48" max="48" width="12" style="17" bestFit="1" customWidth="1"/>
    <col min="49" max="49" width="15.140625" style="17" bestFit="1" customWidth="1"/>
    <col min="50" max="50" width="22.7109375" style="17" bestFit="1" customWidth="1"/>
    <col min="51" max="51" width="25.42578125" style="17" bestFit="1" customWidth="1"/>
    <col min="52" max="52" width="28.7109375" style="17" bestFit="1" customWidth="1"/>
    <col min="53" max="53" width="17.140625" style="17" bestFit="1" customWidth="1"/>
    <col min="54" max="54" width="15.85546875" style="18" bestFit="1" customWidth="1"/>
    <col min="55" max="67" width="15.5703125" style="18" customWidth="1"/>
    <col min="68" max="68" width="19.85546875" style="17" bestFit="1" customWidth="1"/>
    <col min="69" max="69" width="36.85546875" style="17" bestFit="1" customWidth="1"/>
    <col min="70" max="70" width="13.42578125" style="17" bestFit="1" customWidth="1"/>
    <col min="71" max="71" width="11.5703125" style="17" bestFit="1" customWidth="1"/>
    <col min="72" max="72" width="17.5703125" style="18" bestFit="1" customWidth="1"/>
    <col min="73" max="73" width="10.85546875" style="22"/>
    <col min="74" max="16384" width="10.85546875" style="17"/>
  </cols>
  <sheetData>
    <row r="1" spans="1:73">
      <c r="L1" s="17"/>
      <c r="N1" s="17"/>
      <c r="BP1" s="20" t="e">
        <f>+VLOOKUP(Table2[[#This Row],[Rejection Code]],#REF!,3,FALSE)</f>
        <v>#VALUE!</v>
      </c>
      <c r="BQ1" s="21" t="e">
        <f>+Table2[[#This Row],[Sold To]]&amp;Table2[[#This Row],[EAN Code]]&amp;Table2[[#This Row],[Canal]]</f>
        <v>#VALUE!</v>
      </c>
      <c r="BR1" s="20" t="e">
        <f>+VLOOKUP(Table2[[#This Row],[KeyPLU]],#REF!,7,FALSE)</f>
        <v>#VALUE!</v>
      </c>
      <c r="BS1" s="20" t="str">
        <f>+IFERROR(IF(INT(Table2[[#This Row],[Ordered]]/Table2[[#This Row],[Masterpack]])=Table2[[#This Row],[Ordered]]/Table2[[#This Row],[Masterpack]],"Full Box","NO Full Box"),"Sin Datos")</f>
        <v>Sin Datos</v>
      </c>
      <c r="BT1" s="35" t="e">
        <f>+Table2[[#This Row],[Ordered]]-Table2[[#This Row],[Invoice Sales]]</f>
        <v>#VALUE!</v>
      </c>
    </row>
    <row r="2" spans="1:73" s="29" customFormat="1">
      <c r="A2" s="23" t="s">
        <v>17</v>
      </c>
      <c r="B2" s="23" t="s">
        <v>0</v>
      </c>
      <c r="C2" s="23" t="s">
        <v>18</v>
      </c>
      <c r="D2" s="23" t="s">
        <v>19</v>
      </c>
      <c r="E2" s="24" t="s">
        <v>1</v>
      </c>
      <c r="F2" s="23" t="s">
        <v>6</v>
      </c>
      <c r="G2" s="23" t="s">
        <v>20</v>
      </c>
      <c r="H2" s="23" t="s">
        <v>21</v>
      </c>
      <c r="I2" s="23" t="s">
        <v>2</v>
      </c>
      <c r="J2" s="23" t="s">
        <v>3</v>
      </c>
      <c r="K2" s="23" t="s">
        <v>22</v>
      </c>
      <c r="L2" s="23" t="s">
        <v>23</v>
      </c>
      <c r="M2" s="23" t="s">
        <v>24</v>
      </c>
      <c r="N2" s="23" t="s">
        <v>25</v>
      </c>
      <c r="O2" s="25" t="s">
        <v>15</v>
      </c>
      <c r="P2" s="23" t="s">
        <v>26</v>
      </c>
      <c r="Q2" s="26" t="s">
        <v>27</v>
      </c>
      <c r="R2" s="27" t="s">
        <v>28</v>
      </c>
      <c r="S2" s="25" t="s">
        <v>4</v>
      </c>
      <c r="T2" s="23" t="s">
        <v>29</v>
      </c>
      <c r="U2" s="23" t="s">
        <v>81</v>
      </c>
      <c r="V2" s="23" t="s">
        <v>30</v>
      </c>
      <c r="W2" s="23" t="s">
        <v>82</v>
      </c>
      <c r="X2" s="23" t="s">
        <v>31</v>
      </c>
      <c r="Y2" s="23" t="s">
        <v>32</v>
      </c>
      <c r="Z2" s="23" t="s">
        <v>83</v>
      </c>
      <c r="AA2" s="23" t="s">
        <v>33</v>
      </c>
      <c r="AB2" s="23" t="s">
        <v>34</v>
      </c>
      <c r="AC2" s="23" t="s">
        <v>35</v>
      </c>
      <c r="AD2" s="24" t="s">
        <v>36</v>
      </c>
      <c r="AE2" s="23" t="s">
        <v>5</v>
      </c>
      <c r="AF2" s="23" t="s">
        <v>37</v>
      </c>
      <c r="AG2" s="23" t="s">
        <v>38</v>
      </c>
      <c r="AH2" s="23" t="s">
        <v>39</v>
      </c>
      <c r="AI2" s="23" t="s">
        <v>40</v>
      </c>
      <c r="AJ2" s="23" t="s">
        <v>41</v>
      </c>
      <c r="AK2" s="23" t="s">
        <v>42</v>
      </c>
      <c r="AL2" s="23" t="s">
        <v>43</v>
      </c>
      <c r="AM2" s="23" t="s">
        <v>44</v>
      </c>
      <c r="AN2" s="23" t="s">
        <v>45</v>
      </c>
      <c r="AO2" s="23" t="s">
        <v>46</v>
      </c>
      <c r="AP2" s="23" t="s">
        <v>47</v>
      </c>
      <c r="AQ2" s="23" t="s">
        <v>16</v>
      </c>
      <c r="AR2" s="23" t="s">
        <v>48</v>
      </c>
      <c r="AS2" s="23" t="s">
        <v>49</v>
      </c>
      <c r="AT2" s="23" t="s">
        <v>50</v>
      </c>
      <c r="AU2" s="23" t="s">
        <v>51</v>
      </c>
      <c r="AV2" s="23" t="s">
        <v>52</v>
      </c>
      <c r="AW2" s="23" t="s">
        <v>53</v>
      </c>
      <c r="AX2" s="23" t="s">
        <v>54</v>
      </c>
      <c r="AY2" s="23" t="s">
        <v>55</v>
      </c>
      <c r="AZ2" s="23" t="s">
        <v>56</v>
      </c>
      <c r="BA2" s="23" t="s">
        <v>57</v>
      </c>
      <c r="BB2" s="36" t="s">
        <v>58</v>
      </c>
      <c r="BC2" s="36" t="s">
        <v>59</v>
      </c>
      <c r="BD2" s="36" t="s">
        <v>60</v>
      </c>
      <c r="BE2" s="36" t="s">
        <v>9</v>
      </c>
      <c r="BF2" s="36" t="s">
        <v>80</v>
      </c>
      <c r="BG2" s="36" t="s">
        <v>79</v>
      </c>
      <c r="BH2" s="36" t="s">
        <v>78</v>
      </c>
      <c r="BI2" s="36" t="s">
        <v>77</v>
      </c>
      <c r="BJ2" s="36" t="s">
        <v>76</v>
      </c>
      <c r="BK2" s="36" t="s">
        <v>75</v>
      </c>
      <c r="BL2" s="36" t="s">
        <v>74</v>
      </c>
      <c r="BM2" s="36" t="s">
        <v>73</v>
      </c>
      <c r="BN2" s="36" t="s">
        <v>72</v>
      </c>
      <c r="BO2" s="36" t="s">
        <v>71</v>
      </c>
      <c r="BP2" s="28" t="s">
        <v>7</v>
      </c>
      <c r="BQ2" s="28" t="s">
        <v>61</v>
      </c>
      <c r="BR2" s="28" t="s">
        <v>8</v>
      </c>
      <c r="BS2" s="28" t="s">
        <v>10</v>
      </c>
      <c r="BT2" s="34" t="s">
        <v>68</v>
      </c>
      <c r="BU2" s="30"/>
    </row>
    <row r="3" spans="1:73">
      <c r="A3" s="2"/>
      <c r="B3" s="2"/>
      <c r="C3" s="2"/>
      <c r="D3" s="2"/>
      <c r="E3" s="2"/>
      <c r="F3" s="2"/>
      <c r="G3" s="2"/>
      <c r="H3" s="2"/>
      <c r="I3" s="2"/>
      <c r="J3" s="2"/>
      <c r="K3" s="2"/>
      <c r="L3" s="2"/>
      <c r="M3" s="41"/>
      <c r="N3" s="2"/>
      <c r="O3" s="2"/>
      <c r="P3" s="2"/>
      <c r="Q3" s="2"/>
      <c r="R3" s="2"/>
      <c r="S3" s="41"/>
      <c r="T3" s="42"/>
      <c r="U3" s="41"/>
      <c r="V3" s="42"/>
      <c r="W3" s="41"/>
      <c r="X3" s="42"/>
      <c r="Y3" s="42"/>
      <c r="Z3" s="41"/>
      <c r="AA3" s="42"/>
      <c r="AB3" s="42"/>
      <c r="AC3" s="43"/>
      <c r="AD3" s="44"/>
      <c r="AE3" s="2"/>
      <c r="AF3" s="2"/>
      <c r="AG3" s="2"/>
      <c r="AH3" s="2"/>
      <c r="AI3" s="5"/>
      <c r="AJ3" s="5"/>
      <c r="AK3" s="2"/>
      <c r="AL3" s="5"/>
      <c r="AM3" s="5"/>
      <c r="AN3" s="5"/>
      <c r="AO3" s="5"/>
      <c r="AP3" s="5"/>
      <c r="AQ3" s="5"/>
      <c r="AR3" s="5"/>
      <c r="AS3" s="5"/>
      <c r="AT3" s="5"/>
      <c r="AU3" s="5"/>
      <c r="AV3" s="5"/>
      <c r="AW3" s="5"/>
      <c r="AX3" s="5"/>
      <c r="AY3" s="5"/>
      <c r="AZ3" s="2"/>
      <c r="BA3" s="5"/>
      <c r="BB3" s="2"/>
      <c r="BC3" s="2"/>
      <c r="BD3" s="5"/>
      <c r="BE3" s="41"/>
      <c r="BF3" s="31"/>
      <c r="BG3" s="31"/>
      <c r="BH3" s="31"/>
      <c r="BI3" s="31"/>
      <c r="BJ3" s="31"/>
      <c r="BK3" s="31"/>
      <c r="BL3" s="31"/>
      <c r="BM3" s="31"/>
      <c r="BN3" s="31"/>
      <c r="BO3" s="31"/>
      <c r="BQ3" s="32"/>
      <c r="BU3" s="17"/>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7"/>
  <sheetViews>
    <sheetView showGridLines="0" tabSelected="1" zoomScale="80" zoomScaleNormal="80" workbookViewId="0">
      <selection sqref="A1:N1"/>
    </sheetView>
  </sheetViews>
  <sheetFormatPr baseColWidth="10" defaultColWidth="10.85546875" defaultRowHeight="14.25"/>
  <cols>
    <col min="1" max="1" width="5.7109375" style="2" customWidth="1"/>
    <col min="2" max="2" width="6.42578125" style="2" customWidth="1"/>
    <col min="3" max="3" width="19.140625" style="2" bestFit="1" customWidth="1"/>
    <col min="4" max="4" width="13.42578125" style="2" customWidth="1"/>
    <col min="5" max="5" width="12.85546875" style="2" customWidth="1"/>
    <col min="6" max="8" width="16.85546875" style="3" customWidth="1"/>
    <col min="9" max="9" width="12.140625" style="2" customWidth="1"/>
    <col min="10" max="10" width="13.85546875" style="2" bestFit="1" customWidth="1"/>
    <col min="11" max="11" width="10.85546875" style="2" customWidth="1"/>
    <col min="12" max="12" width="10.85546875" style="2" bestFit="1" customWidth="1"/>
    <col min="13" max="13" width="14" style="2" bestFit="1" customWidth="1"/>
    <col min="14" max="14" width="7.5703125" style="2" customWidth="1"/>
    <col min="15" max="16384" width="10.85546875" style="2"/>
  </cols>
  <sheetData>
    <row r="1" spans="1:14" ht="67.5" customHeight="1">
      <c r="A1" s="50" t="s">
        <v>64</v>
      </c>
      <c r="B1" s="50"/>
      <c r="C1" s="50"/>
      <c r="D1" s="50"/>
      <c r="E1" s="50"/>
      <c r="F1" s="50"/>
      <c r="G1" s="50"/>
      <c r="H1" s="50"/>
      <c r="I1" s="50"/>
      <c r="J1" s="50"/>
      <c r="K1" s="50"/>
      <c r="L1" s="50"/>
      <c r="M1" s="50"/>
      <c r="N1" s="50"/>
    </row>
    <row r="6" spans="1:14" ht="29.45" customHeight="1"/>
    <row r="13" spans="1:14" ht="24" customHeight="1">
      <c r="E13" s="49" t="s">
        <v>70</v>
      </c>
      <c r="F13" s="49"/>
      <c r="G13" s="49"/>
      <c r="H13" s="48" t="e">
        <f>+GETPIVOTDATA("Facturado",$E$15)/GETPIVOTDATA("Ordenado",$E$15)</f>
        <v>#DIV/0!</v>
      </c>
      <c r="I13" s="8"/>
      <c r="J13"/>
      <c r="K13"/>
      <c r="L13"/>
    </row>
    <row r="14" spans="1:14" ht="15">
      <c r="J14"/>
      <c r="K14"/>
      <c r="L14"/>
    </row>
    <row r="15" spans="1:14" ht="15">
      <c r="F15" s="46" t="s">
        <v>11</v>
      </c>
      <c r="J15"/>
      <c r="K15"/>
      <c r="L15"/>
    </row>
    <row r="16" spans="1:14" ht="15">
      <c r="F16" s="3" t="s">
        <v>63</v>
      </c>
      <c r="G16" s="3" t="s">
        <v>85</v>
      </c>
      <c r="H16" s="3" t="s">
        <v>86</v>
      </c>
      <c r="J16"/>
      <c r="K16"/>
      <c r="L16"/>
    </row>
    <row r="17" spans="5:12" ht="15">
      <c r="E17" s="2" t="s">
        <v>62</v>
      </c>
      <c r="F17" s="4"/>
      <c r="G17" s="4"/>
      <c r="H17" s="4"/>
      <c r="I17" s="4"/>
      <c r="J17"/>
      <c r="K17"/>
      <c r="L17"/>
    </row>
    <row r="18" spans="5:12" ht="15">
      <c r="E18"/>
      <c r="F18" s="1"/>
      <c r="G18" s="1"/>
      <c r="J18"/>
      <c r="K18"/>
      <c r="L18"/>
    </row>
    <row r="19" spans="5:12" ht="15">
      <c r="E19"/>
      <c r="F19" s="1"/>
      <c r="G19" s="1"/>
      <c r="J19"/>
      <c r="K19"/>
      <c r="L19"/>
    </row>
    <row r="20" spans="5:12" ht="15">
      <c r="E20"/>
      <c r="F20" s="1"/>
      <c r="G20" s="1"/>
      <c r="J20"/>
      <c r="K20"/>
      <c r="L20"/>
    </row>
    <row r="21" spans="5:12" ht="15">
      <c r="E21"/>
      <c r="F21" s="1"/>
      <c r="G21" s="47"/>
      <c r="J21" s="37"/>
      <c r="K21" s="37"/>
      <c r="L21" s="37"/>
    </row>
    <row r="22" spans="5:12" ht="15">
      <c r="E22"/>
      <c r="F22" s="1"/>
      <c r="G22" s="1"/>
    </row>
    <row r="23" spans="5:12" ht="15">
      <c r="E23"/>
      <c r="F23" s="1"/>
    </row>
    <row r="24" spans="5:12" ht="15">
      <c r="E24"/>
      <c r="F24" s="1"/>
    </row>
    <row r="25" spans="5:12" ht="15">
      <c r="E25"/>
      <c r="F25" s="1"/>
    </row>
    <row r="26" spans="5:12" ht="15">
      <c r="E26"/>
      <c r="F26" s="1"/>
    </row>
    <row r="27" spans="5:12" ht="15">
      <c r="E27"/>
      <c r="F27" s="1"/>
    </row>
    <row r="28" spans="5:12" ht="15">
      <c r="E28"/>
      <c r="F28" s="1"/>
    </row>
    <row r="29" spans="5:12" ht="15">
      <c r="E29"/>
      <c r="F29" s="1"/>
    </row>
    <row r="30" spans="5:12" ht="15">
      <c r="E30"/>
      <c r="F30" s="1"/>
    </row>
    <row r="31" spans="5:12" ht="15">
      <c r="E31"/>
      <c r="F31" s="1"/>
    </row>
    <row r="32" spans="5:12" ht="15">
      <c r="E32"/>
      <c r="F32" s="1"/>
    </row>
    <row r="33" spans="5:6" ht="15">
      <c r="E33"/>
      <c r="F33" s="1"/>
    </row>
    <row r="34" spans="5:6" ht="15">
      <c r="E34"/>
      <c r="F34" s="1"/>
    </row>
    <row r="35" spans="5:6" ht="15">
      <c r="E35"/>
      <c r="F35" s="1"/>
    </row>
    <row r="36" spans="5:6" ht="15">
      <c r="E36"/>
      <c r="F36" s="1"/>
    </row>
    <row r="37" spans="5:6" ht="15">
      <c r="E37"/>
      <c r="F37" s="1"/>
    </row>
    <row r="38" spans="5:6" ht="15">
      <c r="E38"/>
      <c r="F38" s="1"/>
    </row>
    <row r="39" spans="5:6" ht="15">
      <c r="E39"/>
      <c r="F39" s="1"/>
    </row>
    <row r="40" spans="5:6" ht="15">
      <c r="E40"/>
      <c r="F40" s="1"/>
    </row>
    <row r="41" spans="5:6" ht="15">
      <c r="E41"/>
      <c r="F41" s="1"/>
    </row>
    <row r="42" spans="5:6" ht="15">
      <c r="E42"/>
      <c r="F42" s="1"/>
    </row>
    <row r="43" spans="5:6" ht="15">
      <c r="E43"/>
      <c r="F43" s="1"/>
    </row>
    <row r="44" spans="5:6" ht="15">
      <c r="E44"/>
      <c r="F44" s="1"/>
    </row>
    <row r="45" spans="5:6" ht="15">
      <c r="E45"/>
      <c r="F45" s="1"/>
    </row>
    <row r="46" spans="5:6" ht="15">
      <c r="E46"/>
      <c r="F46" s="1"/>
    </row>
    <row r="47" spans="5:6" ht="15">
      <c r="E47"/>
      <c r="F47" s="1"/>
    </row>
  </sheetData>
  <mergeCells count="2">
    <mergeCell ref="E13:G13"/>
    <mergeCell ref="A1:N1"/>
  </mergeCells>
  <pageMargins left="0.7" right="0.7" top="0.75" bottom="0.75" header="0.3" footer="0.3"/>
  <pageSetup orientation="portrait" r:id="rId2"/>
  <customProperties>
    <customPr name="_pios_id" r:id="rId3"/>
  </customProperties>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5"/>
  <sheetViews>
    <sheetView showGridLines="0" zoomScale="80" zoomScaleNormal="80" workbookViewId="0">
      <selection sqref="A1:H1"/>
    </sheetView>
  </sheetViews>
  <sheetFormatPr baseColWidth="10" defaultColWidth="10.85546875" defaultRowHeight="12.75"/>
  <cols>
    <col min="1" max="1" width="6.5703125" style="6" customWidth="1"/>
    <col min="2" max="2" width="18.5703125" style="6" customWidth="1"/>
    <col min="3" max="3" width="21.5703125" style="7" customWidth="1"/>
    <col min="4" max="4" width="21.5703125" style="11" customWidth="1"/>
    <col min="5" max="5" width="23.5703125" style="11" customWidth="1"/>
    <col min="6" max="6" width="50.5703125" style="11" customWidth="1"/>
    <col min="7" max="7" width="15.5703125" style="6" customWidth="1"/>
    <col min="8" max="8" width="12.5703125" style="6" customWidth="1"/>
    <col min="9" max="9" width="10" style="6" customWidth="1"/>
    <col min="10" max="16384" width="10.85546875" style="6"/>
  </cols>
  <sheetData>
    <row r="1" spans="1:13" ht="26.25">
      <c r="A1" s="51" t="s">
        <v>67</v>
      </c>
      <c r="B1" s="51"/>
      <c r="C1" s="51"/>
      <c r="D1" s="51"/>
      <c r="E1" s="51"/>
      <c r="F1" s="51"/>
      <c r="G1" s="51"/>
      <c r="H1" s="51"/>
      <c r="I1" s="33"/>
    </row>
    <row r="3" spans="1:13">
      <c r="B3" s="9" t="s">
        <v>41</v>
      </c>
      <c r="C3" s="10" t="s">
        <v>91</v>
      </c>
    </row>
    <row r="5" spans="1:13" ht="15">
      <c r="B5" s="38" t="s">
        <v>84</v>
      </c>
      <c r="C5" s="39"/>
      <c r="D5" s="39"/>
      <c r="E5" s="39"/>
      <c r="F5" s="39"/>
      <c r="G5" s="10"/>
      <c r="H5"/>
      <c r="I5"/>
      <c r="J5"/>
      <c r="K5"/>
      <c r="L5"/>
      <c r="M5"/>
    </row>
    <row r="6" spans="1:13" s="7" customFormat="1" ht="15">
      <c r="B6" s="13" t="s">
        <v>12</v>
      </c>
      <c r="C6" s="13" t="s">
        <v>13</v>
      </c>
      <c r="D6" s="14" t="s">
        <v>14</v>
      </c>
      <c r="E6" s="13" t="s">
        <v>15</v>
      </c>
      <c r="F6" s="13" t="s">
        <v>27</v>
      </c>
      <c r="G6" s="10" t="s">
        <v>62</v>
      </c>
      <c r="H6"/>
      <c r="I6"/>
      <c r="J6"/>
      <c r="K6"/>
      <c r="L6"/>
      <c r="M6"/>
    </row>
    <row r="7" spans="1:13" ht="15">
      <c r="B7" s="10" t="s">
        <v>90</v>
      </c>
      <c r="C7" s="10"/>
      <c r="D7" s="10"/>
      <c r="E7" s="10"/>
      <c r="F7" s="10"/>
      <c r="G7" s="16"/>
      <c r="H7"/>
      <c r="I7"/>
      <c r="J7"/>
      <c r="K7"/>
      <c r="L7"/>
      <c r="M7"/>
    </row>
    <row r="8" spans="1:13" ht="15">
      <c r="B8"/>
      <c r="C8"/>
      <c r="D8"/>
      <c r="E8"/>
      <c r="F8"/>
      <c r="G8"/>
      <c r="H8"/>
      <c r="I8"/>
      <c r="J8"/>
      <c r="K8"/>
      <c r="L8"/>
      <c r="M8"/>
    </row>
    <row r="9" spans="1:13" ht="15">
      <c r="B9"/>
      <c r="C9"/>
      <c r="D9"/>
      <c r="E9"/>
      <c r="F9"/>
      <c r="G9"/>
      <c r="H9"/>
      <c r="I9"/>
      <c r="J9"/>
      <c r="K9"/>
      <c r="L9"/>
      <c r="M9"/>
    </row>
    <row r="10" spans="1:13" ht="15">
      <c r="B10"/>
      <c r="C10"/>
      <c r="D10"/>
      <c r="E10"/>
      <c r="F10"/>
      <c r="G10"/>
      <c r="H10"/>
      <c r="I10"/>
      <c r="J10"/>
      <c r="K10"/>
      <c r="L10"/>
      <c r="M10"/>
    </row>
    <row r="11" spans="1:13" ht="15">
      <c r="B11"/>
      <c r="C11"/>
      <c r="D11"/>
      <c r="E11"/>
      <c r="F11"/>
      <c r="G11"/>
      <c r="H11"/>
      <c r="I11"/>
      <c r="J11"/>
      <c r="K11"/>
      <c r="L11"/>
      <c r="M11"/>
    </row>
    <row r="12" spans="1:13" ht="15">
      <c r="B12"/>
      <c r="C12"/>
      <c r="D12"/>
      <c r="E12"/>
      <c r="F12"/>
      <c r="G12"/>
      <c r="H12"/>
      <c r="I12"/>
      <c r="J12"/>
      <c r="K12"/>
      <c r="L12"/>
      <c r="M12"/>
    </row>
    <row r="13" spans="1:13" ht="15">
      <c r="B13"/>
      <c r="C13"/>
      <c r="D13"/>
      <c r="E13"/>
      <c r="F13"/>
      <c r="G13"/>
      <c r="H13"/>
      <c r="I13"/>
      <c r="J13"/>
      <c r="K13"/>
      <c r="L13"/>
      <c r="M13"/>
    </row>
    <row r="14" spans="1:13" ht="15">
      <c r="B14"/>
      <c r="C14"/>
      <c r="D14"/>
      <c r="E14"/>
      <c r="F14"/>
      <c r="G14"/>
      <c r="H14"/>
      <c r="I14"/>
      <c r="J14"/>
      <c r="K14"/>
      <c r="L14"/>
      <c r="M14"/>
    </row>
    <row r="15" spans="1:13" ht="15">
      <c r="B15"/>
      <c r="C15"/>
      <c r="D15"/>
      <c r="E15"/>
      <c r="F15"/>
      <c r="G15"/>
      <c r="H15"/>
      <c r="I15"/>
      <c r="J15"/>
      <c r="K15"/>
      <c r="L15"/>
      <c r="M15"/>
    </row>
    <row r="16" spans="1:13" ht="15">
      <c r="B16"/>
      <c r="C16"/>
      <c r="D16"/>
      <c r="E16"/>
      <c r="F16"/>
      <c r="G16"/>
      <c r="H16"/>
      <c r="I16"/>
      <c r="J16"/>
      <c r="K16"/>
      <c r="L16"/>
      <c r="M16"/>
    </row>
    <row r="17" spans="2:13" ht="15">
      <c r="B17"/>
      <c r="C17"/>
      <c r="D17"/>
      <c r="E17"/>
      <c r="F17"/>
      <c r="G17"/>
      <c r="H17"/>
      <c r="I17"/>
      <c r="J17"/>
      <c r="K17"/>
      <c r="L17"/>
      <c r="M17"/>
    </row>
    <row r="18" spans="2:13" ht="15">
      <c r="B18"/>
      <c r="C18"/>
      <c r="D18"/>
      <c r="E18"/>
      <c r="F18"/>
      <c r="G18"/>
      <c r="H18"/>
      <c r="I18"/>
      <c r="J18"/>
      <c r="K18"/>
      <c r="L18"/>
      <c r="M18"/>
    </row>
    <row r="19" spans="2:13" ht="15">
      <c r="B19"/>
      <c r="C19"/>
      <c r="D19"/>
      <c r="E19"/>
      <c r="F19"/>
      <c r="G19"/>
      <c r="H19"/>
      <c r="I19"/>
      <c r="J19"/>
      <c r="K19"/>
      <c r="L19"/>
      <c r="M19"/>
    </row>
    <row r="20" spans="2:13" ht="15">
      <c r="B20"/>
      <c r="C20"/>
      <c r="D20"/>
      <c r="E20"/>
      <c r="F20"/>
      <c r="G20"/>
      <c r="H20"/>
      <c r="I20"/>
      <c r="J20"/>
      <c r="K20"/>
      <c r="L20"/>
      <c r="M20"/>
    </row>
    <row r="21" spans="2:13" ht="15">
      <c r="B21"/>
      <c r="C21"/>
      <c r="D21"/>
      <c r="E21"/>
      <c r="F21"/>
      <c r="G21"/>
      <c r="H21"/>
      <c r="I21"/>
      <c r="J21"/>
      <c r="K21"/>
      <c r="L21"/>
      <c r="M21"/>
    </row>
    <row r="22" spans="2:13" ht="15">
      <c r="B22"/>
      <c r="C22"/>
      <c r="D22"/>
      <c r="E22"/>
      <c r="F22"/>
      <c r="G22"/>
      <c r="H22"/>
      <c r="I22"/>
      <c r="J22"/>
      <c r="K22"/>
      <c r="L22"/>
      <c r="M22"/>
    </row>
    <row r="23" spans="2:13" ht="15">
      <c r="B23"/>
      <c r="C23"/>
      <c r="D23"/>
      <c r="E23"/>
      <c r="F23"/>
      <c r="G23"/>
      <c r="H23"/>
      <c r="I23"/>
      <c r="J23"/>
      <c r="K23"/>
      <c r="L23"/>
      <c r="M23"/>
    </row>
    <row r="24" spans="2:13" ht="15">
      <c r="B24"/>
      <c r="C24"/>
      <c r="D24"/>
      <c r="E24"/>
      <c r="F24"/>
      <c r="G24"/>
      <c r="H24"/>
      <c r="I24"/>
      <c r="J24"/>
      <c r="K24"/>
      <c r="L24"/>
      <c r="M24"/>
    </row>
    <row r="25" spans="2:13" ht="15">
      <c r="B25"/>
      <c r="C25"/>
      <c r="D25"/>
      <c r="E25"/>
      <c r="F25"/>
      <c r="G25"/>
      <c r="H25"/>
      <c r="I25"/>
      <c r="J25"/>
      <c r="K25"/>
      <c r="L25"/>
      <c r="M25"/>
    </row>
    <row r="26" spans="2:13" ht="15">
      <c r="B26"/>
      <c r="C26"/>
      <c r="D26"/>
      <c r="E26"/>
      <c r="F26"/>
      <c r="G26"/>
      <c r="H26"/>
      <c r="I26"/>
      <c r="J26"/>
      <c r="K26"/>
      <c r="L26"/>
      <c r="M26"/>
    </row>
    <row r="27" spans="2:13" ht="15">
      <c r="B27"/>
      <c r="C27"/>
      <c r="D27"/>
      <c r="E27"/>
      <c r="F27"/>
      <c r="G27"/>
      <c r="H27"/>
      <c r="I27"/>
      <c r="J27"/>
      <c r="K27"/>
      <c r="L27"/>
      <c r="M27"/>
    </row>
    <row r="28" spans="2:13" ht="15">
      <c r="B28"/>
      <c r="C28"/>
      <c r="D28"/>
      <c r="E28"/>
      <c r="F28"/>
      <c r="G28"/>
      <c r="H28"/>
      <c r="I28"/>
      <c r="J28"/>
      <c r="K28"/>
      <c r="L28"/>
      <c r="M28"/>
    </row>
    <row r="29" spans="2:13" ht="15">
      <c r="B29"/>
      <c r="C29"/>
      <c r="D29"/>
      <c r="E29"/>
      <c r="F29"/>
      <c r="G29"/>
      <c r="H29"/>
      <c r="I29"/>
      <c r="J29"/>
      <c r="K29"/>
      <c r="L29"/>
      <c r="M29"/>
    </row>
    <row r="30" spans="2:13" ht="15">
      <c r="B30"/>
      <c r="C30"/>
      <c r="D30"/>
      <c r="E30"/>
      <c r="F30"/>
      <c r="G30"/>
      <c r="H30"/>
      <c r="I30"/>
      <c r="J30"/>
      <c r="K30"/>
      <c r="L30"/>
      <c r="M30"/>
    </row>
    <row r="31" spans="2:13" ht="15">
      <c r="B31"/>
      <c r="C31"/>
      <c r="D31"/>
      <c r="E31"/>
      <c r="F31"/>
      <c r="G31"/>
      <c r="H31"/>
      <c r="I31"/>
      <c r="J31"/>
      <c r="K31"/>
      <c r="L31"/>
      <c r="M31"/>
    </row>
    <row r="32" spans="2:13" ht="15">
      <c r="B32"/>
      <c r="C32"/>
      <c r="D32"/>
      <c r="E32"/>
      <c r="F32"/>
      <c r="G32"/>
      <c r="H32"/>
      <c r="I32"/>
      <c r="J32"/>
      <c r="K32"/>
      <c r="L32"/>
      <c r="M32"/>
    </row>
    <row r="33" spans="2:13" ht="15">
      <c r="B33"/>
      <c r="C33"/>
      <c r="D33"/>
      <c r="E33"/>
      <c r="F33"/>
      <c r="G33"/>
      <c r="H33"/>
      <c r="I33"/>
      <c r="J33"/>
      <c r="K33"/>
      <c r="L33"/>
      <c r="M33"/>
    </row>
    <row r="34" spans="2:13" ht="15">
      <c r="B34"/>
      <c r="C34"/>
      <c r="D34"/>
      <c r="E34"/>
      <c r="F34"/>
      <c r="G34"/>
      <c r="H34"/>
      <c r="I34"/>
      <c r="J34"/>
      <c r="K34"/>
      <c r="L34"/>
      <c r="M34"/>
    </row>
    <row r="35" spans="2:13" ht="15">
      <c r="B35"/>
      <c r="C35"/>
      <c r="D35"/>
      <c r="E35"/>
      <c r="F35"/>
      <c r="G35"/>
      <c r="H35"/>
      <c r="I35"/>
      <c r="J35"/>
      <c r="K35"/>
      <c r="L35"/>
      <c r="M35"/>
    </row>
    <row r="36" spans="2:13" ht="15">
      <c r="B36"/>
      <c r="C36"/>
      <c r="D36"/>
      <c r="E36"/>
      <c r="F36"/>
      <c r="G36"/>
      <c r="H36"/>
      <c r="I36"/>
      <c r="J36"/>
      <c r="K36"/>
      <c r="L36"/>
      <c r="M36"/>
    </row>
    <row r="37" spans="2:13" ht="15">
      <c r="B37"/>
      <c r="C37"/>
      <c r="D37"/>
      <c r="E37"/>
      <c r="F37"/>
      <c r="G37"/>
      <c r="H37"/>
      <c r="I37"/>
      <c r="J37"/>
      <c r="K37"/>
      <c r="L37"/>
      <c r="M37"/>
    </row>
    <row r="38" spans="2:13" ht="15">
      <c r="B38"/>
      <c r="C38"/>
      <c r="D38"/>
      <c r="E38"/>
      <c r="F38"/>
      <c r="G38"/>
      <c r="H38"/>
      <c r="I38"/>
      <c r="J38"/>
      <c r="K38"/>
      <c r="L38"/>
      <c r="M38"/>
    </row>
    <row r="39" spans="2:13" ht="15">
      <c r="B39"/>
      <c r="C39"/>
      <c r="D39"/>
      <c r="E39"/>
      <c r="F39"/>
      <c r="G39"/>
      <c r="H39"/>
      <c r="I39"/>
      <c r="J39"/>
      <c r="K39"/>
      <c r="L39"/>
      <c r="M39"/>
    </row>
    <row r="40" spans="2:13" ht="15">
      <c r="B40"/>
      <c r="C40"/>
      <c r="D40"/>
      <c r="E40"/>
      <c r="F40"/>
      <c r="G40"/>
      <c r="H40"/>
      <c r="I40"/>
      <c r="J40"/>
      <c r="K40"/>
      <c r="L40"/>
      <c r="M40"/>
    </row>
    <row r="41" spans="2:13" ht="15">
      <c r="B41"/>
      <c r="C41"/>
      <c r="D41"/>
      <c r="E41"/>
      <c r="F41"/>
      <c r="G41"/>
      <c r="H41"/>
      <c r="I41"/>
      <c r="J41"/>
      <c r="K41"/>
      <c r="L41"/>
      <c r="M41"/>
    </row>
    <row r="42" spans="2:13" ht="15">
      <c r="B42"/>
      <c r="C42"/>
      <c r="D42"/>
      <c r="E42"/>
      <c r="F42"/>
      <c r="G42"/>
      <c r="H42"/>
      <c r="I42"/>
      <c r="J42"/>
      <c r="K42"/>
      <c r="L42"/>
      <c r="M42"/>
    </row>
    <row r="43" spans="2:13" ht="15">
      <c r="B43"/>
      <c r="C43"/>
      <c r="D43"/>
      <c r="E43"/>
      <c r="F43"/>
      <c r="G43"/>
      <c r="H43"/>
      <c r="I43"/>
      <c r="J43"/>
      <c r="K43"/>
      <c r="L43"/>
      <c r="M43"/>
    </row>
    <row r="44" spans="2:13" ht="15">
      <c r="B44"/>
      <c r="C44"/>
      <c r="D44"/>
      <c r="E44"/>
      <c r="F44"/>
      <c r="G44"/>
      <c r="H44"/>
      <c r="I44"/>
      <c r="J44"/>
      <c r="K44"/>
      <c r="L44"/>
      <c r="M44"/>
    </row>
    <row r="45" spans="2:13" ht="15">
      <c r="B45"/>
      <c r="C45"/>
      <c r="D45"/>
      <c r="E45"/>
      <c r="F45"/>
      <c r="G45"/>
      <c r="H45"/>
      <c r="I45"/>
      <c r="J45"/>
      <c r="K45"/>
      <c r="L45"/>
      <c r="M45"/>
    </row>
    <row r="46" spans="2:13" ht="15">
      <c r="B46"/>
      <c r="C46"/>
      <c r="D46"/>
      <c r="E46"/>
      <c r="F46"/>
      <c r="G46"/>
      <c r="H46"/>
      <c r="I46"/>
      <c r="J46"/>
      <c r="K46"/>
      <c r="L46"/>
      <c r="M46"/>
    </row>
    <row r="47" spans="2:13" ht="15">
      <c r="B47"/>
      <c r="C47"/>
      <c r="D47"/>
      <c r="E47"/>
      <c r="F47"/>
      <c r="G47"/>
      <c r="H47"/>
      <c r="I47"/>
      <c r="J47"/>
      <c r="K47"/>
      <c r="L47"/>
      <c r="M47"/>
    </row>
    <row r="48" spans="2:13" ht="15">
      <c r="B48"/>
      <c r="C48"/>
      <c r="D48"/>
      <c r="E48"/>
      <c r="F48"/>
      <c r="G48"/>
      <c r="H48"/>
      <c r="I48"/>
      <c r="J48"/>
      <c r="K48"/>
      <c r="L48"/>
      <c r="M48"/>
    </row>
    <row r="49" spans="2:13" ht="15">
      <c r="B49"/>
      <c r="C49"/>
      <c r="D49"/>
      <c r="E49"/>
      <c r="F49"/>
      <c r="G49"/>
      <c r="H49"/>
      <c r="I49"/>
      <c r="J49"/>
      <c r="K49"/>
      <c r="L49"/>
      <c r="M49"/>
    </row>
    <row r="50" spans="2:13" ht="15">
      <c r="B50"/>
      <c r="C50"/>
      <c r="D50"/>
      <c r="E50"/>
      <c r="F50"/>
      <c r="G50"/>
      <c r="H50"/>
      <c r="I50"/>
      <c r="J50"/>
      <c r="K50"/>
      <c r="L50"/>
      <c r="M50"/>
    </row>
    <row r="51" spans="2:13" ht="15">
      <c r="B51"/>
      <c r="C51"/>
      <c r="D51"/>
      <c r="E51"/>
      <c r="F51"/>
      <c r="G51"/>
      <c r="H51"/>
      <c r="I51"/>
      <c r="J51"/>
      <c r="K51"/>
      <c r="L51"/>
      <c r="M51"/>
    </row>
    <row r="52" spans="2:13" ht="15">
      <c r="B52"/>
      <c r="C52"/>
      <c r="D52"/>
      <c r="E52"/>
      <c r="F52"/>
      <c r="G52"/>
      <c r="H52"/>
      <c r="I52"/>
      <c r="J52"/>
      <c r="K52"/>
      <c r="L52"/>
      <c r="M52"/>
    </row>
    <row r="53" spans="2:13" ht="15">
      <c r="B53"/>
      <c r="C53"/>
      <c r="D53"/>
      <c r="E53"/>
      <c r="F53"/>
      <c r="G53"/>
      <c r="H53"/>
      <c r="I53"/>
      <c r="J53"/>
      <c r="K53"/>
      <c r="L53"/>
      <c r="M53"/>
    </row>
    <row r="54" spans="2:13" ht="15">
      <c r="B54"/>
      <c r="C54"/>
      <c r="D54"/>
      <c r="E54"/>
      <c r="F54"/>
      <c r="G54"/>
      <c r="H54"/>
      <c r="I54"/>
      <c r="J54"/>
      <c r="K54"/>
      <c r="L54"/>
      <c r="M54"/>
    </row>
    <row r="55" spans="2:13" ht="15">
      <c r="B55"/>
      <c r="C55"/>
      <c r="D55"/>
      <c r="E55"/>
      <c r="F55"/>
      <c r="G55"/>
      <c r="H55"/>
      <c r="I55"/>
      <c r="J55"/>
      <c r="K55"/>
      <c r="L55"/>
      <c r="M55"/>
    </row>
    <row r="56" spans="2:13" ht="15">
      <c r="B56"/>
      <c r="C56"/>
      <c r="D56"/>
      <c r="E56"/>
      <c r="F56"/>
      <c r="G56"/>
      <c r="H56"/>
      <c r="I56"/>
      <c r="J56"/>
      <c r="K56"/>
      <c r="L56"/>
      <c r="M56"/>
    </row>
    <row r="57" spans="2:13" ht="15">
      <c r="B57"/>
      <c r="C57"/>
      <c r="D57"/>
      <c r="E57"/>
      <c r="F57"/>
      <c r="G57"/>
      <c r="H57"/>
      <c r="I57"/>
      <c r="J57"/>
      <c r="K57"/>
      <c r="L57"/>
      <c r="M57"/>
    </row>
    <row r="58" spans="2:13" ht="15">
      <c r="B58"/>
      <c r="C58"/>
      <c r="D58"/>
      <c r="E58"/>
      <c r="F58"/>
      <c r="G58"/>
      <c r="H58"/>
      <c r="I58"/>
      <c r="J58"/>
      <c r="K58"/>
      <c r="L58"/>
      <c r="M58"/>
    </row>
    <row r="59" spans="2:13" ht="15">
      <c r="B59"/>
      <c r="C59"/>
      <c r="D59"/>
      <c r="E59"/>
      <c r="F59"/>
      <c r="G59"/>
      <c r="H59"/>
      <c r="I59"/>
      <c r="J59"/>
      <c r="K59"/>
      <c r="L59"/>
      <c r="M59"/>
    </row>
    <row r="60" spans="2:13" ht="15">
      <c r="B60"/>
      <c r="C60"/>
      <c r="D60"/>
      <c r="E60"/>
      <c r="F60"/>
      <c r="G60"/>
      <c r="H60"/>
      <c r="I60"/>
      <c r="J60"/>
      <c r="K60"/>
      <c r="L60"/>
      <c r="M60"/>
    </row>
    <row r="61" spans="2:13" ht="15">
      <c r="B61"/>
      <c r="C61"/>
      <c r="D61"/>
      <c r="E61"/>
      <c r="F61"/>
      <c r="G61"/>
      <c r="H61"/>
      <c r="I61"/>
      <c r="J61"/>
      <c r="K61"/>
      <c r="L61"/>
      <c r="M61"/>
    </row>
    <row r="62" spans="2:13" ht="15">
      <c r="B62"/>
      <c r="C62"/>
      <c r="D62"/>
      <c r="E62"/>
      <c r="F62"/>
      <c r="G62"/>
      <c r="H62"/>
      <c r="I62"/>
      <c r="J62"/>
      <c r="K62"/>
      <c r="L62"/>
      <c r="M62"/>
    </row>
    <row r="63" spans="2:13" ht="15">
      <c r="B63"/>
      <c r="C63"/>
      <c r="D63"/>
      <c r="E63"/>
      <c r="F63"/>
      <c r="G63"/>
      <c r="H63"/>
      <c r="I63"/>
      <c r="J63"/>
      <c r="K63"/>
      <c r="L63"/>
      <c r="M63"/>
    </row>
    <row r="64" spans="2:13" ht="15">
      <c r="B64"/>
      <c r="C64"/>
      <c r="D64"/>
      <c r="E64"/>
      <c r="F64"/>
      <c r="G64"/>
      <c r="H64"/>
      <c r="I64"/>
      <c r="J64"/>
      <c r="K64"/>
      <c r="L64"/>
      <c r="M64"/>
    </row>
    <row r="65" spans="2:13" ht="15">
      <c r="B65"/>
      <c r="C65"/>
      <c r="D65"/>
      <c r="E65"/>
      <c r="F65"/>
      <c r="G65"/>
      <c r="H65"/>
      <c r="I65"/>
      <c r="J65"/>
      <c r="K65"/>
      <c r="L65"/>
      <c r="M65"/>
    </row>
    <row r="66" spans="2:13" ht="15">
      <c r="B66"/>
      <c r="C66"/>
      <c r="D66"/>
      <c r="E66"/>
      <c r="F66"/>
      <c r="G66"/>
      <c r="H66"/>
      <c r="I66"/>
      <c r="J66"/>
      <c r="K66"/>
      <c r="L66"/>
      <c r="M66"/>
    </row>
    <row r="67" spans="2:13" ht="15">
      <c r="B67"/>
      <c r="C67"/>
      <c r="D67"/>
      <c r="E67"/>
      <c r="F67"/>
      <c r="G67"/>
      <c r="H67"/>
      <c r="I67"/>
      <c r="J67"/>
      <c r="K67"/>
      <c r="L67"/>
      <c r="M67"/>
    </row>
    <row r="68" spans="2:13" ht="15">
      <c r="B68"/>
      <c r="C68"/>
      <c r="D68"/>
      <c r="E68"/>
      <c r="F68"/>
      <c r="G68"/>
      <c r="H68"/>
      <c r="I68"/>
      <c r="J68"/>
      <c r="K68"/>
      <c r="L68"/>
      <c r="M68"/>
    </row>
    <row r="69" spans="2:13" ht="15">
      <c r="B69"/>
      <c r="C69"/>
      <c r="D69"/>
      <c r="E69"/>
      <c r="F69"/>
      <c r="G69"/>
      <c r="H69"/>
      <c r="I69"/>
      <c r="J69"/>
      <c r="K69"/>
      <c r="L69"/>
      <c r="M69"/>
    </row>
    <row r="70" spans="2:13" ht="15">
      <c r="B70"/>
      <c r="C70"/>
      <c r="D70"/>
      <c r="E70"/>
      <c r="F70"/>
      <c r="G70"/>
      <c r="H70"/>
      <c r="I70"/>
      <c r="J70"/>
      <c r="K70"/>
      <c r="L70"/>
      <c r="M70"/>
    </row>
    <row r="71" spans="2:13" ht="15">
      <c r="B71"/>
      <c r="C71"/>
      <c r="D71"/>
      <c r="E71"/>
      <c r="F71"/>
      <c r="G71"/>
      <c r="H71"/>
      <c r="I71"/>
      <c r="J71"/>
      <c r="K71"/>
      <c r="L71"/>
      <c r="M71"/>
    </row>
    <row r="72" spans="2:13" ht="15">
      <c r="B72"/>
      <c r="C72"/>
      <c r="D72"/>
      <c r="E72"/>
      <c r="F72"/>
      <c r="G72"/>
      <c r="H72"/>
      <c r="I72"/>
      <c r="J72"/>
      <c r="K72"/>
      <c r="L72"/>
      <c r="M72"/>
    </row>
    <row r="73" spans="2:13" ht="15">
      <c r="B73"/>
      <c r="C73"/>
      <c r="D73"/>
      <c r="E73"/>
      <c r="F73"/>
      <c r="G73"/>
      <c r="H73"/>
      <c r="I73"/>
      <c r="J73"/>
      <c r="K73"/>
      <c r="L73"/>
      <c r="M73"/>
    </row>
    <row r="74" spans="2:13" ht="15">
      <c r="B74"/>
      <c r="C74"/>
      <c r="D74"/>
      <c r="E74"/>
      <c r="F74"/>
      <c r="G74"/>
      <c r="H74"/>
      <c r="I74"/>
      <c r="J74"/>
      <c r="K74"/>
      <c r="L74"/>
      <c r="M74"/>
    </row>
    <row r="75" spans="2:13" ht="15">
      <c r="B75"/>
      <c r="C75"/>
      <c r="D75"/>
      <c r="E75"/>
      <c r="F75"/>
      <c r="G75"/>
      <c r="H75"/>
      <c r="I75"/>
      <c r="J75"/>
      <c r="K75"/>
      <c r="L75"/>
      <c r="M75"/>
    </row>
    <row r="76" spans="2:13" ht="15">
      <c r="B76"/>
      <c r="C76"/>
      <c r="D76"/>
      <c r="E76"/>
      <c r="F76"/>
      <c r="G76"/>
      <c r="H76"/>
      <c r="I76"/>
      <c r="J76"/>
      <c r="K76"/>
      <c r="L76"/>
      <c r="M76"/>
    </row>
    <row r="77" spans="2:13" ht="15">
      <c r="B77"/>
      <c r="C77"/>
      <c r="D77"/>
      <c r="E77"/>
      <c r="F77"/>
      <c r="G77"/>
      <c r="H77"/>
      <c r="I77"/>
      <c r="J77"/>
      <c r="K77"/>
      <c r="L77"/>
      <c r="M77"/>
    </row>
    <row r="78" spans="2:13" ht="15">
      <c r="B78"/>
      <c r="C78"/>
      <c r="D78"/>
      <c r="E78"/>
      <c r="F78"/>
      <c r="G78"/>
      <c r="H78"/>
      <c r="I78"/>
      <c r="J78"/>
      <c r="K78"/>
      <c r="L78"/>
      <c r="M78"/>
    </row>
    <row r="79" spans="2:13" ht="15">
      <c r="B79"/>
      <c r="C79"/>
      <c r="D79"/>
      <c r="E79"/>
      <c r="F79"/>
      <c r="G79"/>
      <c r="H79"/>
      <c r="I79"/>
      <c r="J79"/>
      <c r="K79"/>
      <c r="L79"/>
      <c r="M79"/>
    </row>
    <row r="80" spans="2:13" ht="15">
      <c r="B80"/>
      <c r="C80"/>
      <c r="D80"/>
      <c r="E80"/>
      <c r="F80"/>
      <c r="G80"/>
      <c r="H80"/>
      <c r="I80"/>
      <c r="J80"/>
      <c r="K80"/>
      <c r="L80"/>
      <c r="M80"/>
    </row>
    <row r="81" spans="2:13" ht="15">
      <c r="B81"/>
      <c r="C81"/>
      <c r="D81"/>
      <c r="E81"/>
      <c r="F81"/>
      <c r="G81"/>
      <c r="H81"/>
      <c r="I81"/>
      <c r="J81"/>
      <c r="K81"/>
      <c r="L81"/>
      <c r="M81"/>
    </row>
    <row r="82" spans="2:13" ht="15">
      <c r="B82"/>
      <c r="C82"/>
      <c r="D82"/>
      <c r="E82"/>
      <c r="F82"/>
      <c r="G82"/>
      <c r="H82"/>
      <c r="I82"/>
      <c r="J82"/>
      <c r="K82"/>
      <c r="L82"/>
      <c r="M82"/>
    </row>
    <row r="83" spans="2:13" ht="15">
      <c r="B83"/>
      <c r="C83"/>
      <c r="D83"/>
      <c r="E83"/>
      <c r="F83"/>
      <c r="G83"/>
      <c r="H83"/>
      <c r="I83"/>
      <c r="J83"/>
      <c r="K83"/>
      <c r="L83"/>
      <c r="M83"/>
    </row>
    <row r="84" spans="2:13" ht="15">
      <c r="B84"/>
      <c r="C84"/>
      <c r="D84"/>
      <c r="E84"/>
      <c r="F84"/>
      <c r="G84"/>
      <c r="H84"/>
      <c r="I84"/>
      <c r="J84"/>
      <c r="K84"/>
      <c r="L84"/>
      <c r="M84"/>
    </row>
    <row r="85" spans="2:13" ht="15">
      <c r="B85"/>
      <c r="C85"/>
      <c r="D85"/>
      <c r="E85"/>
      <c r="F85"/>
      <c r="G85"/>
      <c r="H85"/>
      <c r="I85"/>
      <c r="J85"/>
      <c r="K85"/>
      <c r="L85"/>
      <c r="M85"/>
    </row>
    <row r="86" spans="2:13" ht="15">
      <c r="B86"/>
      <c r="C86"/>
      <c r="D86"/>
      <c r="E86"/>
      <c r="F86"/>
      <c r="G86"/>
      <c r="H86"/>
      <c r="I86"/>
      <c r="J86"/>
      <c r="K86"/>
      <c r="L86"/>
      <c r="M86"/>
    </row>
    <row r="87" spans="2:13" ht="15">
      <c r="B87"/>
      <c r="C87"/>
      <c r="D87"/>
      <c r="E87"/>
      <c r="F87"/>
      <c r="G87"/>
      <c r="H87"/>
      <c r="I87"/>
      <c r="J87"/>
      <c r="K87"/>
      <c r="L87"/>
      <c r="M87"/>
    </row>
    <row r="88" spans="2:13" ht="15">
      <c r="B88"/>
      <c r="C88"/>
      <c r="D88"/>
      <c r="E88"/>
      <c r="F88"/>
      <c r="G88"/>
      <c r="H88"/>
      <c r="I88"/>
      <c r="J88"/>
      <c r="K88"/>
      <c r="L88"/>
      <c r="M88"/>
    </row>
    <row r="89" spans="2:13" ht="15">
      <c r="B89"/>
      <c r="C89"/>
      <c r="D89"/>
      <c r="E89"/>
      <c r="F89"/>
      <c r="G89"/>
      <c r="H89"/>
      <c r="I89"/>
      <c r="J89"/>
      <c r="K89"/>
      <c r="L89"/>
      <c r="M89"/>
    </row>
    <row r="90" spans="2:13" ht="15">
      <c r="B90"/>
      <c r="C90"/>
      <c r="D90"/>
      <c r="E90" s="40"/>
      <c r="F90"/>
      <c r="G90"/>
      <c r="H90"/>
    </row>
    <row r="91" spans="2:13" ht="15">
      <c r="B91"/>
      <c r="C91"/>
      <c r="D91"/>
      <c r="E91" s="40"/>
      <c r="F91"/>
      <c r="G91"/>
      <c r="H91"/>
    </row>
    <row r="92" spans="2:13" ht="15">
      <c r="B92"/>
      <c r="C92"/>
      <c r="D92"/>
      <c r="E92" s="40"/>
      <c r="F92"/>
      <c r="G92"/>
      <c r="H92"/>
    </row>
    <row r="93" spans="2:13" ht="15">
      <c r="B93"/>
      <c r="C93"/>
      <c r="D93"/>
      <c r="E93" s="40"/>
      <c r="F93"/>
      <c r="G93"/>
      <c r="H93"/>
    </row>
    <row r="94" spans="2:13" ht="15">
      <c r="B94"/>
      <c r="C94"/>
      <c r="D94"/>
      <c r="E94" s="40"/>
      <c r="F94"/>
      <c r="G94"/>
      <c r="H94"/>
    </row>
    <row r="95" spans="2:13" ht="15">
      <c r="B95"/>
      <c r="C95"/>
      <c r="D95"/>
      <c r="E95" s="40"/>
      <c r="F95"/>
      <c r="G95"/>
      <c r="H95"/>
    </row>
    <row r="96" spans="2:13" ht="15">
      <c r="B96"/>
      <c r="C96"/>
      <c r="D96"/>
      <c r="E96" s="40"/>
      <c r="F96"/>
      <c r="G96"/>
      <c r="H96"/>
    </row>
    <row r="97" spans="2:8" ht="15">
      <c r="B97"/>
      <c r="C97"/>
      <c r="D97"/>
      <c r="E97" s="40"/>
      <c r="F97"/>
      <c r="G97"/>
      <c r="H97"/>
    </row>
    <row r="98" spans="2:8" ht="15">
      <c r="B98"/>
      <c r="C98"/>
      <c r="D98"/>
      <c r="E98" s="40"/>
      <c r="F98"/>
      <c r="G98"/>
      <c r="H98"/>
    </row>
    <row r="99" spans="2:8" ht="15">
      <c r="B99"/>
      <c r="C99"/>
      <c r="D99"/>
      <c r="E99" s="40"/>
      <c r="F99"/>
      <c r="G99"/>
      <c r="H99"/>
    </row>
    <row r="100" spans="2:8" ht="15">
      <c r="B100"/>
      <c r="C100"/>
      <c r="D100"/>
      <c r="E100" s="40"/>
      <c r="F100"/>
      <c r="G100"/>
      <c r="H100"/>
    </row>
    <row r="101" spans="2:8" ht="15">
      <c r="B101"/>
      <c r="C101"/>
      <c r="D101"/>
      <c r="E101" s="40"/>
      <c r="F101"/>
      <c r="G101"/>
      <c r="H101"/>
    </row>
    <row r="102" spans="2:8" ht="15">
      <c r="B102"/>
      <c r="C102"/>
      <c r="D102"/>
      <c r="E102" s="40"/>
      <c r="F102"/>
      <c r="G102"/>
      <c r="H102"/>
    </row>
    <row r="103" spans="2:8" ht="15">
      <c r="B103"/>
      <c r="C103"/>
      <c r="D103"/>
      <c r="E103" s="40"/>
      <c r="F103"/>
      <c r="G103"/>
      <c r="H103"/>
    </row>
    <row r="104" spans="2:8" ht="15">
      <c r="B104"/>
      <c r="C104"/>
      <c r="D104"/>
      <c r="E104" s="40"/>
      <c r="F104"/>
      <c r="G104"/>
      <c r="H104"/>
    </row>
    <row r="105" spans="2:8" ht="15">
      <c r="B105"/>
      <c r="C105"/>
      <c r="D105"/>
      <c r="E105" s="40"/>
      <c r="F105"/>
      <c r="G105"/>
      <c r="H105"/>
    </row>
    <row r="106" spans="2:8" ht="15">
      <c r="B106"/>
      <c r="C106"/>
      <c r="D106"/>
      <c r="E106" s="40"/>
      <c r="F106"/>
      <c r="G106"/>
      <c r="H106"/>
    </row>
    <row r="107" spans="2:8" ht="15">
      <c r="B107"/>
      <c r="C107"/>
      <c r="D107"/>
      <c r="E107" s="40"/>
      <c r="F107"/>
      <c r="G107"/>
      <c r="H107"/>
    </row>
    <row r="108" spans="2:8" ht="15">
      <c r="B108"/>
      <c r="C108"/>
      <c r="D108"/>
      <c r="E108" s="40"/>
      <c r="F108"/>
      <c r="G108"/>
      <c r="H108"/>
    </row>
    <row r="109" spans="2:8" ht="15">
      <c r="B109"/>
      <c r="C109"/>
      <c r="D109"/>
      <c r="E109" s="40"/>
      <c r="F109"/>
      <c r="G109"/>
      <c r="H109"/>
    </row>
    <row r="110" spans="2:8" ht="15">
      <c r="B110"/>
      <c r="C110"/>
      <c r="D110"/>
      <c r="E110" s="40"/>
      <c r="F110"/>
      <c r="G110"/>
      <c r="H110"/>
    </row>
    <row r="111" spans="2:8" ht="15">
      <c r="B111"/>
      <c r="C111"/>
      <c r="D111"/>
      <c r="E111" s="40"/>
      <c r="F111"/>
      <c r="G111"/>
      <c r="H111"/>
    </row>
    <row r="112" spans="2:8" ht="15">
      <c r="B112"/>
      <c r="C112"/>
      <c r="D112"/>
      <c r="E112" s="40"/>
      <c r="F112"/>
      <c r="G112"/>
      <c r="H112"/>
    </row>
    <row r="113" spans="2:8" ht="15">
      <c r="B113"/>
      <c r="C113"/>
      <c r="D113"/>
      <c r="E113" s="40"/>
      <c r="F113"/>
      <c r="G113"/>
      <c r="H113"/>
    </row>
    <row r="114" spans="2:8" ht="15">
      <c r="B114"/>
      <c r="C114"/>
      <c r="D114"/>
      <c r="E114" s="40"/>
      <c r="F114"/>
      <c r="G114"/>
      <c r="H114"/>
    </row>
    <row r="115" spans="2:8" ht="15">
      <c r="B115"/>
      <c r="C115"/>
      <c r="D115"/>
      <c r="E115" s="40"/>
      <c r="F115"/>
      <c r="G115"/>
      <c r="H115"/>
    </row>
    <row r="116" spans="2:8" ht="15">
      <c r="B116"/>
      <c r="C116"/>
      <c r="D116"/>
      <c r="E116" s="40"/>
      <c r="F116"/>
      <c r="G116"/>
      <c r="H116"/>
    </row>
    <row r="117" spans="2:8" ht="15">
      <c r="B117"/>
      <c r="C117"/>
      <c r="D117"/>
      <c r="E117" s="40"/>
      <c r="F117"/>
      <c r="G117"/>
      <c r="H117"/>
    </row>
    <row r="118" spans="2:8" ht="15">
      <c r="B118"/>
      <c r="C118"/>
      <c r="D118"/>
      <c r="E118" s="40"/>
      <c r="F118"/>
      <c r="G118"/>
      <c r="H118"/>
    </row>
    <row r="119" spans="2:8" ht="15">
      <c r="B119"/>
      <c r="C119"/>
      <c r="D119"/>
      <c r="E119" s="40"/>
      <c r="F119"/>
      <c r="G119"/>
      <c r="H119"/>
    </row>
    <row r="120" spans="2:8" ht="15">
      <c r="B120"/>
      <c r="C120"/>
      <c r="D120"/>
      <c r="E120" s="40"/>
      <c r="F120"/>
      <c r="G120"/>
      <c r="H120"/>
    </row>
    <row r="121" spans="2:8" ht="15">
      <c r="B121"/>
      <c r="C121"/>
      <c r="D121"/>
      <c r="E121" s="40"/>
      <c r="F121"/>
      <c r="G121"/>
      <c r="H121"/>
    </row>
    <row r="122" spans="2:8" ht="15">
      <c r="B122"/>
      <c r="C122"/>
      <c r="D122"/>
      <c r="E122" s="40"/>
      <c r="F122"/>
      <c r="G122"/>
      <c r="H122"/>
    </row>
    <row r="123" spans="2:8" ht="15">
      <c r="B123"/>
      <c r="C123"/>
      <c r="D123"/>
      <c r="E123" s="40"/>
      <c r="F123"/>
      <c r="G123"/>
      <c r="H123"/>
    </row>
    <row r="124" spans="2:8" ht="15">
      <c r="B124"/>
      <c r="C124"/>
      <c r="D124"/>
      <c r="E124" s="40"/>
      <c r="F124"/>
      <c r="G124"/>
      <c r="H124"/>
    </row>
    <row r="125" spans="2:8" ht="15">
      <c r="B125"/>
      <c r="C125"/>
      <c r="D125"/>
      <c r="E125" s="40"/>
      <c r="F125"/>
      <c r="G125"/>
      <c r="H125"/>
    </row>
    <row r="126" spans="2:8" ht="15">
      <c r="B126"/>
      <c r="C126"/>
      <c r="D126"/>
      <c r="E126" s="40"/>
      <c r="F126"/>
      <c r="G126"/>
      <c r="H126"/>
    </row>
    <row r="127" spans="2:8" ht="15">
      <c r="B127"/>
      <c r="C127"/>
      <c r="D127"/>
      <c r="E127" s="40"/>
      <c r="F127"/>
      <c r="G127"/>
      <c r="H127"/>
    </row>
    <row r="128" spans="2:8" ht="15">
      <c r="B128"/>
      <c r="C128"/>
      <c r="D128"/>
      <c r="E128" s="40"/>
      <c r="F128"/>
      <c r="G128"/>
      <c r="H128"/>
    </row>
    <row r="129" spans="2:8" ht="15">
      <c r="B129"/>
      <c r="C129"/>
      <c r="D129"/>
      <c r="E129" s="40"/>
      <c r="F129"/>
      <c r="G129"/>
      <c r="H129"/>
    </row>
    <row r="130" spans="2:8" ht="15">
      <c r="B130"/>
      <c r="C130"/>
      <c r="D130"/>
      <c r="E130" s="40"/>
      <c r="F130"/>
      <c r="G130"/>
      <c r="H130"/>
    </row>
    <row r="131" spans="2:8" ht="15">
      <c r="B131"/>
      <c r="C131"/>
      <c r="D131"/>
      <c r="E131" s="40"/>
      <c r="F131"/>
      <c r="G131"/>
      <c r="H131"/>
    </row>
    <row r="132" spans="2:8" ht="15">
      <c r="B132"/>
      <c r="C132"/>
      <c r="D132"/>
      <c r="E132" s="40"/>
      <c r="F132"/>
      <c r="G132"/>
      <c r="H132"/>
    </row>
    <row r="133" spans="2:8" ht="15">
      <c r="B133"/>
      <c r="C133"/>
      <c r="D133"/>
      <c r="E133" s="40"/>
      <c r="F133"/>
      <c r="G133"/>
      <c r="H133"/>
    </row>
    <row r="134" spans="2:8" ht="15">
      <c r="B134"/>
      <c r="C134"/>
      <c r="D134"/>
      <c r="E134" s="40"/>
      <c r="F134"/>
      <c r="G134"/>
      <c r="H134"/>
    </row>
    <row r="135" spans="2:8" ht="15">
      <c r="B135"/>
      <c r="C135"/>
      <c r="D135"/>
      <c r="E135" s="40"/>
      <c r="F135"/>
      <c r="G135"/>
      <c r="H135"/>
    </row>
    <row r="136" spans="2:8" ht="15">
      <c r="B136"/>
      <c r="C136"/>
      <c r="D136"/>
      <c r="E136" s="40"/>
      <c r="F136"/>
      <c r="G136"/>
      <c r="H136"/>
    </row>
    <row r="137" spans="2:8" ht="15">
      <c r="B137"/>
      <c r="C137"/>
      <c r="D137"/>
      <c r="E137" s="40"/>
      <c r="F137"/>
      <c r="G137"/>
      <c r="H137"/>
    </row>
    <row r="138" spans="2:8" ht="15">
      <c r="B138"/>
      <c r="C138"/>
      <c r="D138"/>
      <c r="E138" s="40"/>
      <c r="F138"/>
      <c r="G138"/>
      <c r="H138"/>
    </row>
    <row r="139" spans="2:8" ht="15">
      <c r="B139"/>
      <c r="C139"/>
      <c r="D139"/>
      <c r="E139" s="40"/>
      <c r="F139"/>
      <c r="G139"/>
      <c r="H139"/>
    </row>
    <row r="140" spans="2:8" ht="15">
      <c r="B140"/>
      <c r="C140"/>
      <c r="D140"/>
      <c r="E140" s="40"/>
      <c r="F140"/>
      <c r="G140"/>
      <c r="H140"/>
    </row>
    <row r="141" spans="2:8" ht="15">
      <c r="B141"/>
      <c r="C141"/>
      <c r="D141"/>
      <c r="E141" s="40"/>
      <c r="F141"/>
      <c r="G141"/>
      <c r="H141"/>
    </row>
    <row r="142" spans="2:8" ht="15">
      <c r="B142"/>
      <c r="C142"/>
      <c r="D142"/>
      <c r="E142" s="40"/>
      <c r="F142"/>
      <c r="G142"/>
      <c r="H142"/>
    </row>
    <row r="143" spans="2:8" ht="15">
      <c r="B143"/>
      <c r="C143"/>
      <c r="D143"/>
      <c r="E143" s="40"/>
      <c r="F143"/>
      <c r="G143"/>
      <c r="H143"/>
    </row>
    <row r="144" spans="2:8" ht="15">
      <c r="B144"/>
      <c r="C144"/>
      <c r="D144"/>
      <c r="E144" s="40"/>
      <c r="F144"/>
      <c r="G144"/>
      <c r="H144"/>
    </row>
    <row r="145" spans="2:8" ht="15">
      <c r="B145"/>
      <c r="C145"/>
      <c r="D145"/>
      <c r="E145" s="40"/>
      <c r="F145"/>
      <c r="G145"/>
      <c r="H145"/>
    </row>
    <row r="146" spans="2:8" ht="15">
      <c r="B146"/>
      <c r="C146"/>
      <c r="D146"/>
      <c r="E146" s="40"/>
      <c r="F146"/>
      <c r="G146"/>
      <c r="H146"/>
    </row>
    <row r="147" spans="2:8" ht="15">
      <c r="B147"/>
      <c r="C147"/>
      <c r="D147"/>
      <c r="E147" s="40"/>
      <c r="F147"/>
      <c r="G147"/>
      <c r="H147"/>
    </row>
    <row r="148" spans="2:8" ht="15">
      <c r="B148"/>
      <c r="C148"/>
      <c r="D148"/>
      <c r="E148" s="40"/>
      <c r="F148"/>
      <c r="G148"/>
      <c r="H148"/>
    </row>
    <row r="149" spans="2:8" ht="15">
      <c r="B149"/>
      <c r="C149"/>
      <c r="D149"/>
      <c r="E149" s="40"/>
      <c r="F149"/>
      <c r="G149"/>
      <c r="H149"/>
    </row>
    <row r="150" spans="2:8" ht="15">
      <c r="B150"/>
      <c r="C150"/>
      <c r="D150"/>
      <c r="E150" s="40"/>
      <c r="F150"/>
      <c r="G150"/>
      <c r="H150"/>
    </row>
    <row r="151" spans="2:8" ht="15">
      <c r="B151"/>
      <c r="C151"/>
      <c r="D151"/>
      <c r="E151" s="40"/>
      <c r="F151"/>
      <c r="G151"/>
      <c r="H151"/>
    </row>
    <row r="152" spans="2:8" ht="15">
      <c r="B152"/>
      <c r="C152"/>
      <c r="D152"/>
      <c r="E152" s="40"/>
      <c r="F152"/>
      <c r="G152"/>
      <c r="H152"/>
    </row>
    <row r="153" spans="2:8" ht="15">
      <c r="B153"/>
      <c r="C153"/>
      <c r="D153"/>
      <c r="E153" s="40"/>
      <c r="F153"/>
      <c r="G153"/>
      <c r="H153"/>
    </row>
    <row r="154" spans="2:8" ht="15">
      <c r="B154"/>
      <c r="C154"/>
      <c r="D154"/>
      <c r="E154" s="40"/>
      <c r="F154"/>
      <c r="G154"/>
      <c r="H154"/>
    </row>
    <row r="155" spans="2:8" ht="15">
      <c r="B155"/>
      <c r="C155"/>
      <c r="D155"/>
      <c r="E155" s="40"/>
      <c r="F155"/>
      <c r="G155"/>
      <c r="H155"/>
    </row>
    <row r="156" spans="2:8" ht="15">
      <c r="B156"/>
      <c r="C156"/>
      <c r="D156"/>
      <c r="E156" s="40"/>
      <c r="F156"/>
      <c r="G156"/>
      <c r="H156"/>
    </row>
    <row r="157" spans="2:8" ht="15">
      <c r="B157"/>
      <c r="C157"/>
      <c r="D157"/>
      <c r="E157" s="40"/>
      <c r="F157"/>
      <c r="G157"/>
      <c r="H157"/>
    </row>
    <row r="158" spans="2:8" ht="15">
      <c r="B158"/>
      <c r="C158"/>
      <c r="D158"/>
      <c r="E158" s="40"/>
      <c r="F158"/>
      <c r="G158"/>
      <c r="H158"/>
    </row>
    <row r="159" spans="2:8" ht="15">
      <c r="B159"/>
      <c r="C159"/>
      <c r="D159"/>
      <c r="E159" s="40"/>
      <c r="F159"/>
      <c r="G159"/>
      <c r="H159"/>
    </row>
    <row r="160" spans="2:8" ht="15">
      <c r="B160"/>
      <c r="C160"/>
      <c r="D160"/>
      <c r="E160" s="40"/>
      <c r="F160"/>
      <c r="G160"/>
      <c r="H160"/>
    </row>
    <row r="161" spans="2:8" ht="15">
      <c r="B161"/>
      <c r="C161"/>
      <c r="D161"/>
      <c r="E161" s="40"/>
      <c r="F161"/>
      <c r="G161"/>
      <c r="H161"/>
    </row>
    <row r="162" spans="2:8" ht="15">
      <c r="B162"/>
      <c r="C162"/>
      <c r="D162"/>
      <c r="E162" s="40"/>
      <c r="F162"/>
      <c r="G162"/>
      <c r="H162"/>
    </row>
    <row r="163" spans="2:8" ht="15">
      <c r="B163"/>
      <c r="C163"/>
      <c r="D163"/>
      <c r="E163" s="40"/>
      <c r="F163"/>
      <c r="G163"/>
      <c r="H163"/>
    </row>
    <row r="164" spans="2:8" ht="15">
      <c r="B164"/>
      <c r="C164"/>
      <c r="D164"/>
      <c r="E164" s="40"/>
      <c r="F164"/>
      <c r="G164"/>
      <c r="H164"/>
    </row>
    <row r="165" spans="2:8" ht="15">
      <c r="B165"/>
      <c r="C165"/>
      <c r="D165"/>
      <c r="E165" s="40"/>
      <c r="F165"/>
      <c r="G165"/>
      <c r="H165"/>
    </row>
    <row r="166" spans="2:8" ht="15">
      <c r="B166"/>
      <c r="C166"/>
      <c r="D166"/>
      <c r="E166" s="40"/>
      <c r="F166"/>
      <c r="G166"/>
      <c r="H166"/>
    </row>
    <row r="167" spans="2:8" ht="15">
      <c r="B167"/>
      <c r="C167"/>
      <c r="D167"/>
      <c r="E167" s="40"/>
      <c r="F167"/>
      <c r="G167"/>
      <c r="H167"/>
    </row>
    <row r="168" spans="2:8" ht="15">
      <c r="B168"/>
      <c r="C168"/>
      <c r="D168"/>
      <c r="E168" s="40"/>
      <c r="F168"/>
      <c r="G168"/>
      <c r="H168"/>
    </row>
    <row r="169" spans="2:8" ht="15">
      <c r="B169"/>
      <c r="C169"/>
      <c r="D169"/>
      <c r="E169" s="40"/>
      <c r="F169"/>
      <c r="G169"/>
      <c r="H169"/>
    </row>
    <row r="170" spans="2:8" ht="15">
      <c r="B170"/>
      <c r="C170"/>
      <c r="D170"/>
      <c r="E170" s="40"/>
      <c r="F170"/>
      <c r="G170"/>
      <c r="H170"/>
    </row>
    <row r="171" spans="2:8" ht="15">
      <c r="B171"/>
      <c r="C171"/>
      <c r="D171"/>
      <c r="E171" s="40"/>
      <c r="F171"/>
      <c r="G171"/>
      <c r="H171"/>
    </row>
    <row r="172" spans="2:8" ht="15">
      <c r="B172"/>
      <c r="C172"/>
      <c r="D172"/>
      <c r="E172" s="40"/>
      <c r="F172"/>
      <c r="G172"/>
      <c r="H172"/>
    </row>
    <row r="173" spans="2:8" ht="15">
      <c r="B173"/>
      <c r="C173"/>
      <c r="D173"/>
      <c r="E173" s="40"/>
      <c r="F173"/>
      <c r="G173"/>
      <c r="H173"/>
    </row>
    <row r="174" spans="2:8" ht="15">
      <c r="B174"/>
      <c r="C174"/>
      <c r="D174"/>
      <c r="E174" s="40"/>
      <c r="F174"/>
      <c r="G174"/>
      <c r="H174"/>
    </row>
    <row r="175" spans="2:8" ht="15">
      <c r="B175"/>
      <c r="C175"/>
      <c r="D175"/>
      <c r="E175" s="40"/>
      <c r="F175"/>
      <c r="G175"/>
      <c r="H175"/>
    </row>
    <row r="176" spans="2:8" ht="15">
      <c r="B176"/>
      <c r="C176"/>
      <c r="D176"/>
      <c r="E176" s="40"/>
      <c r="F176"/>
      <c r="G176"/>
      <c r="H176"/>
    </row>
    <row r="177" spans="2:8" ht="15">
      <c r="B177"/>
      <c r="C177"/>
      <c r="D177"/>
      <c r="E177" s="40"/>
      <c r="F177"/>
      <c r="G177"/>
      <c r="H177"/>
    </row>
    <row r="178" spans="2:8" ht="15">
      <c r="B178"/>
      <c r="C178"/>
      <c r="D178"/>
      <c r="E178" s="40"/>
      <c r="F178"/>
      <c r="G178"/>
      <c r="H178"/>
    </row>
    <row r="179" spans="2:8" ht="15">
      <c r="B179"/>
      <c r="C179"/>
      <c r="D179"/>
      <c r="E179" s="40"/>
      <c r="F179"/>
      <c r="G179"/>
      <c r="H179"/>
    </row>
    <row r="180" spans="2:8" ht="15">
      <c r="B180"/>
      <c r="C180"/>
      <c r="D180"/>
      <c r="E180" s="40"/>
      <c r="F180"/>
      <c r="G180"/>
      <c r="H180"/>
    </row>
    <row r="181" spans="2:8" ht="15">
      <c r="B181"/>
      <c r="C181"/>
      <c r="D181"/>
      <c r="E181" s="40"/>
      <c r="F181"/>
      <c r="G181"/>
      <c r="H181"/>
    </row>
    <row r="182" spans="2:8" ht="15">
      <c r="B182"/>
      <c r="C182"/>
      <c r="D182"/>
      <c r="E182" s="40"/>
      <c r="F182"/>
      <c r="G182"/>
      <c r="H182"/>
    </row>
    <row r="183" spans="2:8" ht="15">
      <c r="B183"/>
      <c r="C183"/>
      <c r="D183"/>
      <c r="E183" s="40"/>
      <c r="F183"/>
      <c r="G183"/>
      <c r="H183"/>
    </row>
    <row r="184" spans="2:8" ht="15">
      <c r="B184"/>
      <c r="C184"/>
      <c r="D184"/>
      <c r="E184" s="40"/>
      <c r="F184"/>
      <c r="G184"/>
      <c r="H184"/>
    </row>
    <row r="185" spans="2:8" ht="15">
      <c r="B185"/>
      <c r="C185"/>
      <c r="D185"/>
      <c r="E185" s="40"/>
      <c r="F185"/>
      <c r="G185"/>
      <c r="H185"/>
    </row>
    <row r="186" spans="2:8" ht="15">
      <c r="B186"/>
      <c r="C186"/>
      <c r="D186"/>
      <c r="E186" s="40"/>
      <c r="F186"/>
      <c r="G186"/>
      <c r="H186"/>
    </row>
    <row r="187" spans="2:8" ht="15">
      <c r="B187"/>
      <c r="C187"/>
      <c r="D187"/>
      <c r="E187" s="40"/>
      <c r="F187"/>
      <c r="G187"/>
      <c r="H187"/>
    </row>
    <row r="188" spans="2:8" ht="15">
      <c r="B188"/>
      <c r="C188"/>
      <c r="D188"/>
      <c r="E188" s="40"/>
      <c r="F188"/>
      <c r="G188"/>
      <c r="H188"/>
    </row>
    <row r="189" spans="2:8" ht="15">
      <c r="B189"/>
      <c r="C189"/>
      <c r="D189"/>
      <c r="E189" s="40"/>
      <c r="F189"/>
      <c r="G189"/>
      <c r="H189"/>
    </row>
    <row r="190" spans="2:8" ht="15">
      <c r="B190"/>
      <c r="C190"/>
      <c r="D190"/>
      <c r="E190" s="40"/>
      <c r="F190"/>
      <c r="G190"/>
      <c r="H190"/>
    </row>
    <row r="191" spans="2:8" ht="15">
      <c r="B191"/>
      <c r="C191"/>
      <c r="D191"/>
      <c r="E191" s="40"/>
      <c r="F191"/>
      <c r="G191"/>
      <c r="H191"/>
    </row>
    <row r="192" spans="2:8" ht="15">
      <c r="B192"/>
      <c r="C192"/>
      <c r="D192"/>
      <c r="E192" s="40"/>
      <c r="F192"/>
      <c r="G192"/>
      <c r="H192"/>
    </row>
    <row r="193" spans="2:8" ht="15">
      <c r="B193"/>
      <c r="C193"/>
      <c r="D193"/>
      <c r="E193" s="40"/>
      <c r="F193"/>
      <c r="G193"/>
      <c r="H193"/>
    </row>
    <row r="194" spans="2:8" ht="15">
      <c r="B194"/>
      <c r="C194"/>
      <c r="D194"/>
      <c r="E194" s="40"/>
      <c r="F194"/>
      <c r="G194"/>
      <c r="H194"/>
    </row>
    <row r="195" spans="2:8" ht="15">
      <c r="B195"/>
      <c r="C195"/>
      <c r="D195"/>
      <c r="E195" s="40"/>
      <c r="F195"/>
      <c r="G195"/>
      <c r="H195"/>
    </row>
    <row r="196" spans="2:8" ht="15">
      <c r="B196"/>
      <c r="C196"/>
      <c r="D196"/>
      <c r="E196" s="40"/>
      <c r="F196"/>
      <c r="G196"/>
      <c r="H196"/>
    </row>
    <row r="197" spans="2:8" ht="15">
      <c r="B197"/>
      <c r="C197"/>
      <c r="D197"/>
      <c r="E197" s="40"/>
      <c r="F197"/>
      <c r="G197"/>
      <c r="H197"/>
    </row>
    <row r="198" spans="2:8" ht="15">
      <c r="B198"/>
      <c r="C198"/>
      <c r="D198"/>
      <c r="E198" s="40"/>
      <c r="F198"/>
      <c r="G198"/>
      <c r="H198"/>
    </row>
    <row r="199" spans="2:8" ht="15">
      <c r="B199"/>
      <c r="C199"/>
      <c r="D199"/>
      <c r="E199" s="40"/>
      <c r="F199"/>
      <c r="G199"/>
      <c r="H199"/>
    </row>
    <row r="200" spans="2:8" ht="15">
      <c r="B200"/>
      <c r="C200"/>
      <c r="D200"/>
      <c r="E200" s="40"/>
      <c r="F200"/>
      <c r="G200"/>
      <c r="H200"/>
    </row>
    <row r="201" spans="2:8" ht="15">
      <c r="B201"/>
      <c r="C201"/>
      <c r="D201"/>
      <c r="E201" s="40"/>
      <c r="F201"/>
      <c r="G201"/>
      <c r="H201"/>
    </row>
    <row r="202" spans="2:8" ht="15">
      <c r="B202"/>
      <c r="C202"/>
      <c r="D202"/>
      <c r="E202" s="40"/>
      <c r="F202"/>
      <c r="G202"/>
      <c r="H202"/>
    </row>
    <row r="203" spans="2:8" ht="15">
      <c r="B203"/>
      <c r="C203"/>
      <c r="D203"/>
      <c r="E203" s="40"/>
      <c r="F203"/>
      <c r="G203"/>
      <c r="H203"/>
    </row>
    <row r="204" spans="2:8" ht="15">
      <c r="B204"/>
      <c r="C204"/>
      <c r="D204"/>
      <c r="E204" s="40"/>
      <c r="F204"/>
      <c r="G204"/>
      <c r="H204"/>
    </row>
    <row r="205" spans="2:8" ht="15">
      <c r="B205"/>
      <c r="C205"/>
      <c r="D205"/>
      <c r="E205" s="40"/>
      <c r="F205"/>
      <c r="G205"/>
      <c r="H205"/>
    </row>
    <row r="206" spans="2:8" ht="15">
      <c r="B206"/>
      <c r="C206"/>
      <c r="D206"/>
      <c r="E206" s="40"/>
      <c r="F206"/>
      <c r="G206"/>
      <c r="H206"/>
    </row>
    <row r="207" spans="2:8" ht="15">
      <c r="B207"/>
      <c r="C207"/>
      <c r="D207"/>
      <c r="E207" s="40"/>
      <c r="F207"/>
      <c r="G207"/>
      <c r="H207"/>
    </row>
    <row r="208" spans="2:8" ht="15">
      <c r="B208"/>
      <c r="C208"/>
      <c r="D208"/>
      <c r="E208" s="40"/>
      <c r="F208"/>
      <c r="G208"/>
      <c r="H208"/>
    </row>
    <row r="209" spans="2:8" ht="15">
      <c r="B209"/>
      <c r="C209"/>
      <c r="D209"/>
      <c r="E209" s="40"/>
      <c r="F209"/>
      <c r="G209"/>
      <c r="H209"/>
    </row>
    <row r="210" spans="2:8" ht="15">
      <c r="B210"/>
      <c r="C210"/>
      <c r="D210"/>
      <c r="E210" s="40"/>
      <c r="F210"/>
      <c r="G210"/>
      <c r="H210"/>
    </row>
    <row r="211" spans="2:8" ht="15">
      <c r="B211"/>
      <c r="C211"/>
      <c r="D211"/>
      <c r="E211" s="40"/>
      <c r="F211"/>
      <c r="G211"/>
      <c r="H211"/>
    </row>
    <row r="212" spans="2:8" ht="15">
      <c r="B212"/>
      <c r="C212"/>
      <c r="D212"/>
      <c r="E212" s="40"/>
      <c r="F212"/>
      <c r="G212"/>
      <c r="H212"/>
    </row>
    <row r="213" spans="2:8" ht="15">
      <c r="B213"/>
      <c r="C213"/>
      <c r="D213"/>
      <c r="E213" s="40"/>
      <c r="F213"/>
      <c r="G213"/>
      <c r="H213"/>
    </row>
    <row r="214" spans="2:8" ht="15">
      <c r="B214"/>
      <c r="C214"/>
      <c r="D214"/>
      <c r="E214" s="40"/>
      <c r="F214"/>
      <c r="G214"/>
      <c r="H214"/>
    </row>
    <row r="215" spans="2:8" ht="15">
      <c r="B215"/>
      <c r="C215"/>
      <c r="D215"/>
      <c r="E215" s="40"/>
      <c r="F215"/>
      <c r="G215"/>
      <c r="H215"/>
    </row>
    <row r="216" spans="2:8" ht="15">
      <c r="B216"/>
      <c r="C216"/>
      <c r="D216"/>
      <c r="E216" s="40"/>
      <c r="F216"/>
      <c r="G216"/>
      <c r="H216"/>
    </row>
    <row r="217" spans="2:8" ht="15">
      <c r="B217"/>
      <c r="C217"/>
      <c r="D217"/>
      <c r="E217" s="40"/>
      <c r="F217"/>
      <c r="G217"/>
      <c r="H217"/>
    </row>
    <row r="218" spans="2:8" ht="15">
      <c r="B218"/>
      <c r="C218"/>
      <c r="D218"/>
      <c r="E218" s="40"/>
      <c r="F218"/>
      <c r="G218"/>
      <c r="H218"/>
    </row>
    <row r="219" spans="2:8" ht="15">
      <c r="B219"/>
      <c r="C219"/>
      <c r="D219"/>
      <c r="E219" s="40"/>
      <c r="F219"/>
      <c r="G219"/>
      <c r="H219"/>
    </row>
    <row r="220" spans="2:8" ht="15">
      <c r="B220"/>
      <c r="C220"/>
      <c r="D220"/>
      <c r="E220" s="40"/>
      <c r="F220"/>
      <c r="G220"/>
      <c r="H220"/>
    </row>
    <row r="221" spans="2:8" ht="15">
      <c r="B221"/>
      <c r="C221"/>
      <c r="D221"/>
      <c r="E221" s="40"/>
      <c r="F221"/>
      <c r="G221"/>
      <c r="H221"/>
    </row>
    <row r="222" spans="2:8" ht="15">
      <c r="B222"/>
      <c r="C222"/>
      <c r="D222"/>
      <c r="E222" s="40"/>
      <c r="F222"/>
      <c r="G222"/>
      <c r="H222"/>
    </row>
    <row r="223" spans="2:8" ht="15">
      <c r="B223"/>
      <c r="C223"/>
      <c r="D223"/>
      <c r="E223" s="40"/>
      <c r="F223"/>
      <c r="G223"/>
      <c r="H223"/>
    </row>
    <row r="224" spans="2:8" ht="15">
      <c r="B224"/>
      <c r="C224"/>
      <c r="D224"/>
      <c r="E224" s="40"/>
      <c r="F224"/>
      <c r="G224"/>
      <c r="H224"/>
    </row>
    <row r="225" spans="2:8" ht="15">
      <c r="B225"/>
      <c r="C225"/>
      <c r="D225"/>
      <c r="E225" s="40"/>
      <c r="F225"/>
      <c r="G225"/>
      <c r="H225"/>
    </row>
    <row r="226" spans="2:8" ht="15">
      <c r="B226"/>
      <c r="C226"/>
      <c r="D226"/>
      <c r="E226" s="40"/>
      <c r="F226"/>
      <c r="G226"/>
      <c r="H226"/>
    </row>
    <row r="227" spans="2:8" ht="15">
      <c r="B227"/>
      <c r="C227"/>
      <c r="D227"/>
      <c r="E227" s="40"/>
      <c r="F227"/>
      <c r="G227"/>
      <c r="H227"/>
    </row>
    <row r="228" spans="2:8" ht="15">
      <c r="B228"/>
      <c r="C228"/>
      <c r="D228"/>
      <c r="E228" s="40"/>
      <c r="F228"/>
      <c r="G228"/>
      <c r="H228"/>
    </row>
    <row r="229" spans="2:8" ht="15">
      <c r="B229"/>
      <c r="C229"/>
      <c r="D229"/>
      <c r="E229" s="40"/>
      <c r="F229"/>
      <c r="G229"/>
      <c r="H229"/>
    </row>
    <row r="230" spans="2:8" ht="15">
      <c r="B230"/>
      <c r="C230"/>
      <c r="D230"/>
      <c r="E230" s="40"/>
      <c r="F230"/>
      <c r="G230"/>
      <c r="H230"/>
    </row>
    <row r="231" spans="2:8" ht="15">
      <c r="B231"/>
      <c r="C231"/>
      <c r="D231"/>
      <c r="E231" s="40"/>
      <c r="F231"/>
      <c r="G231"/>
      <c r="H231"/>
    </row>
    <row r="232" spans="2:8" ht="15">
      <c r="B232"/>
      <c r="C232"/>
      <c r="D232"/>
      <c r="E232" s="40"/>
      <c r="F232"/>
      <c r="G232"/>
      <c r="H232"/>
    </row>
    <row r="233" spans="2:8" ht="15">
      <c r="B233"/>
      <c r="C233"/>
      <c r="D233"/>
      <c r="E233" s="40"/>
      <c r="F233"/>
      <c r="G233"/>
      <c r="H233"/>
    </row>
    <row r="234" spans="2:8" ht="15">
      <c r="B234"/>
      <c r="C234"/>
      <c r="D234"/>
      <c r="E234" s="40"/>
      <c r="F234"/>
      <c r="G234"/>
      <c r="H234"/>
    </row>
    <row r="235" spans="2:8" ht="15">
      <c r="B235"/>
      <c r="C235"/>
      <c r="D235"/>
      <c r="E235" s="40"/>
      <c r="F235"/>
      <c r="G235"/>
      <c r="H235"/>
    </row>
    <row r="236" spans="2:8" ht="15">
      <c r="B236"/>
      <c r="C236"/>
      <c r="D236"/>
      <c r="E236" s="40"/>
      <c r="F236"/>
      <c r="G236"/>
      <c r="H236"/>
    </row>
    <row r="237" spans="2:8" ht="15">
      <c r="B237"/>
      <c r="C237"/>
      <c r="D237"/>
      <c r="E237" s="40"/>
      <c r="F237"/>
      <c r="G237"/>
      <c r="H237"/>
    </row>
    <row r="238" spans="2:8" ht="15">
      <c r="B238"/>
      <c r="C238"/>
      <c r="D238"/>
      <c r="E238" s="40"/>
      <c r="F238"/>
      <c r="G238"/>
      <c r="H238"/>
    </row>
    <row r="239" spans="2:8" ht="15">
      <c r="B239"/>
      <c r="C239"/>
      <c r="D239"/>
      <c r="E239" s="40"/>
      <c r="F239"/>
      <c r="G239"/>
      <c r="H239"/>
    </row>
    <row r="240" spans="2:8" ht="15">
      <c r="B240"/>
      <c r="C240"/>
      <c r="D240"/>
      <c r="E240" s="40"/>
      <c r="F240"/>
      <c r="G240"/>
      <c r="H240"/>
    </row>
    <row r="241" spans="2:8" ht="15">
      <c r="B241"/>
      <c r="C241"/>
      <c r="D241"/>
      <c r="E241" s="40"/>
      <c r="F241"/>
      <c r="G241"/>
      <c r="H241"/>
    </row>
    <row r="242" spans="2:8" ht="15">
      <c r="B242"/>
      <c r="C242"/>
      <c r="D242"/>
      <c r="E242" s="40"/>
      <c r="F242"/>
      <c r="G242"/>
      <c r="H242"/>
    </row>
    <row r="243" spans="2:8" ht="15">
      <c r="B243"/>
      <c r="C243"/>
      <c r="D243"/>
      <c r="E243" s="40"/>
      <c r="F243"/>
      <c r="G243"/>
      <c r="H243"/>
    </row>
    <row r="244" spans="2:8" ht="15">
      <c r="B244"/>
      <c r="C244"/>
      <c r="D244"/>
      <c r="E244" s="40"/>
      <c r="F244"/>
      <c r="G244"/>
      <c r="H244"/>
    </row>
    <row r="245" spans="2:8" ht="15">
      <c r="B245"/>
      <c r="C245"/>
      <c r="D245"/>
      <c r="E245" s="40"/>
      <c r="F245"/>
      <c r="G245"/>
      <c r="H245"/>
    </row>
    <row r="246" spans="2:8" ht="15">
      <c r="B246"/>
      <c r="C246"/>
      <c r="D246"/>
      <c r="E246" s="40"/>
      <c r="F246"/>
      <c r="G246"/>
      <c r="H246"/>
    </row>
    <row r="247" spans="2:8" ht="15">
      <c r="B247"/>
      <c r="C247"/>
      <c r="D247"/>
      <c r="E247" s="40"/>
      <c r="F247"/>
      <c r="G247"/>
      <c r="H247"/>
    </row>
    <row r="248" spans="2:8" ht="15">
      <c r="B248"/>
      <c r="C248"/>
      <c r="D248"/>
      <c r="E248" s="40"/>
      <c r="F248"/>
      <c r="G248"/>
      <c r="H248"/>
    </row>
    <row r="249" spans="2:8" ht="15">
      <c r="B249"/>
      <c r="C249"/>
      <c r="D249"/>
      <c r="E249" s="40"/>
      <c r="F249"/>
      <c r="G249"/>
      <c r="H249"/>
    </row>
    <row r="250" spans="2:8" ht="15">
      <c r="B250"/>
      <c r="C250"/>
      <c r="D250"/>
      <c r="E250" s="40"/>
      <c r="F250"/>
      <c r="G250"/>
      <c r="H250"/>
    </row>
    <row r="251" spans="2:8" ht="15">
      <c r="B251"/>
      <c r="C251"/>
      <c r="D251"/>
      <c r="E251" s="40"/>
      <c r="F251"/>
      <c r="G251"/>
      <c r="H251"/>
    </row>
    <row r="252" spans="2:8" ht="15">
      <c r="B252"/>
      <c r="C252"/>
      <c r="D252"/>
      <c r="E252" s="40"/>
      <c r="F252"/>
      <c r="G252"/>
      <c r="H252"/>
    </row>
    <row r="253" spans="2:8" ht="15">
      <c r="B253"/>
      <c r="C253"/>
      <c r="D253"/>
      <c r="E253" s="40"/>
      <c r="F253"/>
      <c r="G253"/>
      <c r="H253"/>
    </row>
    <row r="254" spans="2:8" ht="15">
      <c r="B254"/>
      <c r="C254"/>
      <c r="D254"/>
      <c r="E254" s="40"/>
      <c r="F254"/>
      <c r="G254"/>
      <c r="H254"/>
    </row>
    <row r="255" spans="2:8" ht="15">
      <c r="B255"/>
      <c r="C255"/>
      <c r="D255"/>
      <c r="E255" s="40"/>
      <c r="F255"/>
      <c r="G255"/>
      <c r="H255"/>
    </row>
    <row r="256" spans="2:8" ht="15">
      <c r="B256"/>
      <c r="C256"/>
      <c r="D256"/>
      <c r="E256" s="40"/>
      <c r="F256"/>
      <c r="G256"/>
      <c r="H256"/>
    </row>
    <row r="257" spans="2:8" ht="15">
      <c r="B257"/>
      <c r="C257"/>
      <c r="D257"/>
      <c r="E257" s="40"/>
      <c r="F257"/>
      <c r="G257"/>
      <c r="H257"/>
    </row>
    <row r="258" spans="2:8" ht="15">
      <c r="B258"/>
      <c r="C258"/>
      <c r="D258"/>
      <c r="E258" s="40"/>
      <c r="F258"/>
      <c r="G258"/>
      <c r="H258"/>
    </row>
    <row r="259" spans="2:8" ht="15">
      <c r="B259"/>
      <c r="C259"/>
      <c r="D259"/>
      <c r="E259" s="40"/>
      <c r="F259"/>
      <c r="G259"/>
      <c r="H259"/>
    </row>
    <row r="260" spans="2:8" ht="15">
      <c r="B260"/>
      <c r="C260"/>
      <c r="D260"/>
      <c r="E260" s="40"/>
      <c r="F260"/>
      <c r="G260"/>
      <c r="H260"/>
    </row>
    <row r="261" spans="2:8" ht="15">
      <c r="B261"/>
      <c r="C261"/>
      <c r="D261"/>
      <c r="E261" s="40"/>
      <c r="F261"/>
      <c r="G261"/>
      <c r="H261"/>
    </row>
    <row r="262" spans="2:8" ht="15">
      <c r="B262"/>
      <c r="C262"/>
      <c r="D262"/>
      <c r="E262" s="40"/>
      <c r="F262"/>
      <c r="G262"/>
      <c r="H262"/>
    </row>
    <row r="263" spans="2:8" ht="15">
      <c r="B263"/>
      <c r="C263"/>
      <c r="D263"/>
      <c r="E263" s="40"/>
      <c r="F263"/>
      <c r="G263"/>
      <c r="H263"/>
    </row>
    <row r="264" spans="2:8" ht="15">
      <c r="B264"/>
      <c r="C264"/>
      <c r="D264"/>
      <c r="E264" s="40"/>
      <c r="F264"/>
      <c r="G264"/>
      <c r="H264"/>
    </row>
    <row r="265" spans="2:8" ht="15">
      <c r="B265"/>
      <c r="C265"/>
      <c r="D265"/>
      <c r="E265" s="40"/>
      <c r="F265"/>
      <c r="G265"/>
      <c r="H265"/>
    </row>
    <row r="266" spans="2:8" ht="15">
      <c r="B266"/>
      <c r="C266"/>
      <c r="D266"/>
      <c r="E266" s="40"/>
      <c r="F266"/>
      <c r="G266"/>
      <c r="H266"/>
    </row>
    <row r="267" spans="2:8" ht="15">
      <c r="B267"/>
      <c r="C267"/>
      <c r="D267"/>
      <c r="E267" s="40"/>
      <c r="F267"/>
      <c r="G267"/>
      <c r="H267"/>
    </row>
    <row r="268" spans="2:8" ht="15">
      <c r="B268"/>
      <c r="C268"/>
      <c r="D268"/>
      <c r="E268" s="40"/>
      <c r="F268"/>
      <c r="G268"/>
      <c r="H268"/>
    </row>
    <row r="269" spans="2:8" ht="15">
      <c r="B269"/>
      <c r="C269"/>
      <c r="D269"/>
      <c r="E269" s="40"/>
      <c r="F269"/>
      <c r="G269"/>
      <c r="H269"/>
    </row>
    <row r="270" spans="2:8" ht="15">
      <c r="B270"/>
      <c r="C270"/>
      <c r="D270"/>
      <c r="E270" s="40"/>
      <c r="F270"/>
      <c r="G270"/>
      <c r="H270"/>
    </row>
    <row r="271" spans="2:8" ht="15">
      <c r="B271"/>
      <c r="C271"/>
      <c r="D271"/>
      <c r="E271" s="40"/>
      <c r="F271"/>
      <c r="G271"/>
      <c r="H271"/>
    </row>
    <row r="272" spans="2:8" ht="15">
      <c r="B272"/>
      <c r="C272"/>
      <c r="D272"/>
      <c r="E272" s="40"/>
      <c r="F272"/>
      <c r="G272"/>
      <c r="H272"/>
    </row>
    <row r="273" spans="2:8" ht="15">
      <c r="B273"/>
      <c r="C273"/>
      <c r="D273"/>
      <c r="E273" s="40"/>
      <c r="F273"/>
      <c r="G273"/>
      <c r="H273"/>
    </row>
    <row r="274" spans="2:8" ht="15">
      <c r="B274"/>
      <c r="C274"/>
      <c r="D274"/>
      <c r="E274" s="40"/>
      <c r="F274"/>
      <c r="G274"/>
      <c r="H274"/>
    </row>
    <row r="275" spans="2:8" ht="15">
      <c r="B275"/>
      <c r="C275"/>
      <c r="D275"/>
      <c r="E275" s="40"/>
      <c r="F275"/>
      <c r="G275"/>
      <c r="H275"/>
    </row>
    <row r="276" spans="2:8" ht="15">
      <c r="B276"/>
      <c r="C276"/>
      <c r="D276"/>
      <c r="E276" s="40"/>
      <c r="F276"/>
      <c r="G276"/>
      <c r="H276"/>
    </row>
    <row r="277" spans="2:8" ht="15">
      <c r="B277"/>
      <c r="C277"/>
      <c r="D277"/>
      <c r="E277" s="40"/>
      <c r="F277"/>
      <c r="G277"/>
      <c r="H277"/>
    </row>
    <row r="278" spans="2:8" ht="15">
      <c r="B278"/>
      <c r="C278"/>
      <c r="D278"/>
      <c r="E278" s="40"/>
      <c r="F278"/>
      <c r="G278"/>
      <c r="H278"/>
    </row>
    <row r="279" spans="2:8" ht="15">
      <c r="B279"/>
      <c r="C279"/>
      <c r="D279"/>
      <c r="E279" s="40"/>
      <c r="F279"/>
      <c r="G279"/>
      <c r="H279"/>
    </row>
    <row r="280" spans="2:8" ht="15">
      <c r="B280"/>
      <c r="C280"/>
      <c r="D280"/>
      <c r="E280" s="40"/>
      <c r="F280"/>
      <c r="G280"/>
      <c r="H280"/>
    </row>
    <row r="281" spans="2:8" ht="15">
      <c r="B281"/>
      <c r="C281"/>
      <c r="D281"/>
      <c r="E281" s="40"/>
      <c r="F281"/>
      <c r="G281"/>
      <c r="H281"/>
    </row>
    <row r="282" spans="2:8" ht="15">
      <c r="B282"/>
      <c r="C282"/>
      <c r="D282"/>
      <c r="E282" s="40"/>
      <c r="F282"/>
      <c r="G282"/>
      <c r="H282"/>
    </row>
    <row r="283" spans="2:8" ht="15">
      <c r="B283"/>
      <c r="C283"/>
      <c r="D283"/>
      <c r="E283" s="40"/>
      <c r="F283"/>
      <c r="G283"/>
      <c r="H283"/>
    </row>
    <row r="284" spans="2:8" ht="15">
      <c r="B284"/>
      <c r="C284"/>
      <c r="D284"/>
      <c r="E284" s="40"/>
      <c r="F284"/>
      <c r="G284"/>
      <c r="H284"/>
    </row>
    <row r="285" spans="2:8" ht="15">
      <c r="B285"/>
      <c r="C285"/>
      <c r="D285"/>
      <c r="E285" s="40"/>
      <c r="F285"/>
      <c r="G285"/>
      <c r="H285"/>
    </row>
    <row r="286" spans="2:8" ht="15">
      <c r="B286"/>
      <c r="C286"/>
      <c r="D286"/>
      <c r="E286" s="40"/>
      <c r="F286"/>
      <c r="G286"/>
      <c r="H286"/>
    </row>
    <row r="287" spans="2:8" ht="15">
      <c r="B287"/>
      <c r="C287"/>
      <c r="D287"/>
      <c r="E287" s="40"/>
      <c r="F287"/>
      <c r="G287"/>
      <c r="H287"/>
    </row>
    <row r="288" spans="2:8" ht="15">
      <c r="B288"/>
      <c r="C288"/>
      <c r="D288"/>
      <c r="E288" s="40"/>
      <c r="F288"/>
      <c r="G288"/>
      <c r="H288"/>
    </row>
    <row r="289" spans="2:8" ht="15">
      <c r="B289"/>
      <c r="C289"/>
      <c r="D289"/>
      <c r="E289" s="40"/>
      <c r="F289"/>
      <c r="G289"/>
      <c r="H289"/>
    </row>
    <row r="290" spans="2:8" ht="15">
      <c r="B290"/>
      <c r="C290"/>
      <c r="D290"/>
      <c r="E290" s="40"/>
      <c r="F290"/>
      <c r="G290"/>
      <c r="H290"/>
    </row>
    <row r="291" spans="2:8" ht="15">
      <c r="B291"/>
      <c r="C291"/>
      <c r="D291"/>
      <c r="E291" s="40"/>
      <c r="F291"/>
      <c r="G291"/>
      <c r="H291"/>
    </row>
    <row r="292" spans="2:8" ht="15">
      <c r="B292"/>
      <c r="C292"/>
      <c r="D292"/>
      <c r="E292" s="40"/>
      <c r="F292"/>
      <c r="G292"/>
      <c r="H292"/>
    </row>
    <row r="293" spans="2:8" ht="15">
      <c r="B293"/>
      <c r="C293"/>
      <c r="D293"/>
      <c r="E293" s="40"/>
      <c r="F293"/>
      <c r="G293"/>
      <c r="H293"/>
    </row>
    <row r="294" spans="2:8" ht="15">
      <c r="B294"/>
      <c r="C294"/>
      <c r="D294"/>
      <c r="E294" s="40"/>
      <c r="F294"/>
      <c r="G294"/>
      <c r="H294"/>
    </row>
    <row r="295" spans="2:8" ht="15">
      <c r="B295"/>
      <c r="C295"/>
      <c r="D295"/>
      <c r="E295" s="40"/>
      <c r="F295"/>
      <c r="G295"/>
      <c r="H295"/>
    </row>
    <row r="296" spans="2:8" ht="15">
      <c r="B296"/>
      <c r="C296"/>
      <c r="D296"/>
      <c r="E296" s="40"/>
      <c r="F296"/>
      <c r="G296"/>
      <c r="H296"/>
    </row>
    <row r="297" spans="2:8" ht="15">
      <c r="B297"/>
      <c r="C297"/>
      <c r="D297"/>
      <c r="E297" s="40"/>
      <c r="F297"/>
      <c r="G297"/>
      <c r="H297"/>
    </row>
    <row r="298" spans="2:8" ht="15">
      <c r="B298"/>
      <c r="C298"/>
      <c r="D298"/>
      <c r="E298" s="40"/>
      <c r="F298"/>
      <c r="G298"/>
      <c r="H298"/>
    </row>
    <row r="299" spans="2:8" ht="15">
      <c r="B299"/>
      <c r="C299"/>
      <c r="D299"/>
      <c r="E299" s="40"/>
      <c r="F299"/>
      <c r="G299"/>
      <c r="H299"/>
    </row>
    <row r="300" spans="2:8" ht="15">
      <c r="B300"/>
      <c r="C300"/>
      <c r="D300"/>
      <c r="E300" s="40"/>
      <c r="F300"/>
      <c r="G300"/>
      <c r="H300"/>
    </row>
    <row r="301" spans="2:8" ht="15">
      <c r="B301"/>
      <c r="C301"/>
      <c r="D301"/>
      <c r="E301" s="40"/>
      <c r="F301"/>
      <c r="G301"/>
      <c r="H301"/>
    </row>
    <row r="302" spans="2:8" ht="15">
      <c r="B302"/>
      <c r="C302"/>
      <c r="D302"/>
      <c r="E302" s="40"/>
      <c r="F302"/>
      <c r="G302"/>
      <c r="H302"/>
    </row>
    <row r="303" spans="2:8" ht="15">
      <c r="B303"/>
      <c r="C303"/>
      <c r="D303"/>
      <c r="E303" s="40"/>
      <c r="F303"/>
      <c r="G303"/>
      <c r="H303"/>
    </row>
    <row r="304" spans="2:8" ht="15">
      <c r="B304"/>
      <c r="C304"/>
      <c r="D304"/>
      <c r="E304" s="40"/>
      <c r="F304"/>
      <c r="G304"/>
      <c r="H304"/>
    </row>
    <row r="305" spans="2:8" ht="15">
      <c r="B305"/>
      <c r="C305"/>
      <c r="D305"/>
      <c r="E305" s="40"/>
      <c r="F305"/>
      <c r="G305"/>
      <c r="H305"/>
    </row>
    <row r="306" spans="2:8" ht="15">
      <c r="B306"/>
      <c r="C306"/>
      <c r="D306"/>
      <c r="E306" s="40"/>
      <c r="F306"/>
      <c r="G306"/>
      <c r="H306"/>
    </row>
    <row r="307" spans="2:8" ht="15">
      <c r="B307"/>
      <c r="C307"/>
      <c r="D307"/>
      <c r="E307" s="40"/>
      <c r="F307"/>
      <c r="G307"/>
      <c r="H307"/>
    </row>
    <row r="308" spans="2:8" ht="15">
      <c r="B308"/>
      <c r="C308"/>
      <c r="D308"/>
      <c r="E308" s="40"/>
      <c r="F308"/>
      <c r="G308"/>
      <c r="H308"/>
    </row>
    <row r="309" spans="2:8" ht="15">
      <c r="B309"/>
      <c r="C309"/>
      <c r="D309"/>
      <c r="E309" s="40"/>
      <c r="F309"/>
      <c r="G309"/>
      <c r="H309"/>
    </row>
    <row r="310" spans="2:8" ht="15">
      <c r="B310"/>
      <c r="C310"/>
      <c r="D310"/>
      <c r="E310" s="40"/>
      <c r="F310"/>
      <c r="G310"/>
      <c r="H310"/>
    </row>
    <row r="311" spans="2:8" ht="15">
      <c r="B311"/>
      <c r="C311"/>
      <c r="D311"/>
      <c r="E311" s="40"/>
      <c r="F311"/>
      <c r="G311"/>
      <c r="H311"/>
    </row>
    <row r="312" spans="2:8" ht="15">
      <c r="B312"/>
      <c r="C312"/>
      <c r="D312"/>
      <c r="E312" s="40"/>
      <c r="F312"/>
      <c r="G312"/>
      <c r="H312"/>
    </row>
    <row r="313" spans="2:8" ht="15">
      <c r="B313"/>
      <c r="C313"/>
      <c r="D313"/>
      <c r="E313" s="40"/>
      <c r="F313"/>
      <c r="G313"/>
      <c r="H313"/>
    </row>
    <row r="314" spans="2:8" ht="15">
      <c r="B314"/>
      <c r="C314"/>
      <c r="D314"/>
      <c r="E314" s="40"/>
      <c r="F314"/>
      <c r="G314"/>
      <c r="H314"/>
    </row>
    <row r="315" spans="2:8" ht="15">
      <c r="B315"/>
      <c r="C315"/>
      <c r="D315"/>
      <c r="E315" s="40"/>
      <c r="F315"/>
      <c r="G315"/>
      <c r="H315"/>
    </row>
    <row r="316" spans="2:8" ht="15">
      <c r="B316"/>
      <c r="C316"/>
      <c r="D316"/>
      <c r="E316" s="40"/>
      <c r="F316"/>
      <c r="G316"/>
      <c r="H316"/>
    </row>
    <row r="317" spans="2:8" ht="15">
      <c r="B317"/>
      <c r="C317"/>
      <c r="D317"/>
      <c r="E317" s="40"/>
      <c r="F317"/>
      <c r="G317"/>
      <c r="H317"/>
    </row>
    <row r="318" spans="2:8" ht="15">
      <c r="B318"/>
      <c r="C318"/>
      <c r="D318"/>
      <c r="E318" s="40"/>
      <c r="F318"/>
      <c r="G318"/>
      <c r="H318"/>
    </row>
    <row r="319" spans="2:8" ht="15">
      <c r="B319"/>
      <c r="C319"/>
      <c r="D319"/>
      <c r="E319" s="40"/>
      <c r="F319"/>
      <c r="G319"/>
      <c r="H319"/>
    </row>
    <row r="320" spans="2:8" ht="15">
      <c r="B320"/>
      <c r="C320"/>
      <c r="D320"/>
      <c r="E320" s="40"/>
      <c r="F320"/>
      <c r="G320"/>
      <c r="H320"/>
    </row>
    <row r="321" spans="2:8" ht="15">
      <c r="B321"/>
      <c r="C321"/>
      <c r="D321"/>
      <c r="E321" s="40"/>
      <c r="F321"/>
      <c r="G321"/>
      <c r="H321"/>
    </row>
    <row r="322" spans="2:8" ht="15">
      <c r="B322"/>
      <c r="C322"/>
      <c r="D322"/>
      <c r="E322" s="40"/>
      <c r="F322"/>
      <c r="G322"/>
      <c r="H322"/>
    </row>
    <row r="323" spans="2:8" ht="15">
      <c r="B323"/>
      <c r="C323"/>
      <c r="D323"/>
      <c r="E323" s="40"/>
      <c r="F323"/>
      <c r="G323"/>
      <c r="H323"/>
    </row>
    <row r="324" spans="2:8" ht="15">
      <c r="B324"/>
      <c r="C324"/>
      <c r="D324"/>
      <c r="E324" s="40"/>
      <c r="F324"/>
      <c r="G324"/>
      <c r="H324"/>
    </row>
    <row r="325" spans="2:8" ht="15">
      <c r="B325"/>
      <c r="C325"/>
      <c r="D325"/>
      <c r="E325" s="40"/>
      <c r="F325"/>
      <c r="G325"/>
      <c r="H325"/>
    </row>
    <row r="326" spans="2:8" ht="15">
      <c r="B326"/>
      <c r="C326"/>
      <c r="D326"/>
      <c r="E326" s="40"/>
      <c r="F326"/>
      <c r="G326"/>
      <c r="H326"/>
    </row>
    <row r="327" spans="2:8" ht="15">
      <c r="B327"/>
      <c r="C327"/>
      <c r="D327"/>
      <c r="E327" s="40"/>
      <c r="F327"/>
      <c r="G327"/>
      <c r="H327"/>
    </row>
    <row r="328" spans="2:8" ht="15">
      <c r="B328"/>
      <c r="C328"/>
      <c r="D328"/>
      <c r="E328" s="40"/>
      <c r="F328"/>
      <c r="G328"/>
      <c r="H328"/>
    </row>
    <row r="329" spans="2:8" ht="15">
      <c r="B329"/>
      <c r="C329"/>
      <c r="D329"/>
      <c r="E329" s="40"/>
      <c r="F329"/>
      <c r="G329"/>
      <c r="H329"/>
    </row>
    <row r="330" spans="2:8" ht="15">
      <c r="B330"/>
      <c r="C330"/>
      <c r="D330"/>
      <c r="E330" s="40"/>
      <c r="F330"/>
      <c r="G330"/>
      <c r="H330"/>
    </row>
    <row r="331" spans="2:8" ht="15">
      <c r="B331"/>
      <c r="C331"/>
      <c r="D331"/>
      <c r="E331" s="40"/>
      <c r="F331"/>
      <c r="G331"/>
      <c r="H331"/>
    </row>
    <row r="332" spans="2:8" ht="15">
      <c r="B332"/>
      <c r="C332"/>
      <c r="D332"/>
      <c r="E332" s="40"/>
      <c r="F332"/>
      <c r="G332"/>
      <c r="H332"/>
    </row>
    <row r="333" spans="2:8" ht="15">
      <c r="B333"/>
      <c r="C333"/>
      <c r="D333"/>
      <c r="E333" s="40"/>
      <c r="F333"/>
      <c r="G333"/>
      <c r="H333"/>
    </row>
    <row r="334" spans="2:8" ht="15">
      <c r="B334"/>
      <c r="C334"/>
      <c r="D334"/>
      <c r="E334" s="40"/>
      <c r="F334"/>
      <c r="G334"/>
      <c r="H334"/>
    </row>
    <row r="335" spans="2:8" ht="15">
      <c r="B335"/>
      <c r="C335"/>
      <c r="D335"/>
      <c r="E335" s="40"/>
      <c r="F335"/>
      <c r="G335"/>
      <c r="H335"/>
    </row>
    <row r="336" spans="2:8" ht="15">
      <c r="B336"/>
      <c r="C336"/>
      <c r="D336"/>
      <c r="E336" s="40"/>
      <c r="F336"/>
      <c r="G336"/>
      <c r="H336"/>
    </row>
    <row r="337" spans="2:8" ht="15">
      <c r="B337"/>
      <c r="C337"/>
      <c r="D337"/>
      <c r="E337" s="40"/>
      <c r="F337"/>
      <c r="G337"/>
      <c r="H337"/>
    </row>
    <row r="338" spans="2:8" ht="15">
      <c r="B338"/>
      <c r="C338"/>
      <c r="D338"/>
      <c r="E338" s="40"/>
      <c r="F338"/>
      <c r="G338"/>
      <c r="H338"/>
    </row>
    <row r="339" spans="2:8" ht="15">
      <c r="B339"/>
      <c r="C339"/>
      <c r="D339"/>
      <c r="E339" s="40"/>
      <c r="F339"/>
      <c r="G339"/>
      <c r="H339"/>
    </row>
    <row r="340" spans="2:8" ht="15">
      <c r="B340"/>
      <c r="C340"/>
      <c r="D340"/>
      <c r="E340" s="40"/>
      <c r="F340"/>
      <c r="G340"/>
      <c r="H340"/>
    </row>
    <row r="341" spans="2:8" ht="15">
      <c r="B341"/>
      <c r="C341"/>
      <c r="D341"/>
      <c r="E341" s="40"/>
      <c r="F341"/>
      <c r="G341"/>
      <c r="H341"/>
    </row>
    <row r="342" spans="2:8" ht="15">
      <c r="B342"/>
      <c r="C342"/>
      <c r="D342"/>
      <c r="E342" s="40"/>
      <c r="F342"/>
      <c r="G342"/>
      <c r="H342"/>
    </row>
    <row r="343" spans="2:8" ht="15">
      <c r="B343"/>
      <c r="C343"/>
      <c r="D343"/>
      <c r="E343" s="40"/>
      <c r="F343"/>
      <c r="G343"/>
      <c r="H343"/>
    </row>
    <row r="344" spans="2:8" ht="15">
      <c r="B344"/>
      <c r="C344"/>
      <c r="D344"/>
      <c r="E344" s="40"/>
      <c r="F344"/>
      <c r="G344"/>
      <c r="H344"/>
    </row>
    <row r="345" spans="2:8" ht="15">
      <c r="B345"/>
      <c r="C345"/>
      <c r="D345"/>
      <c r="E345" s="40"/>
      <c r="F345"/>
      <c r="G345"/>
      <c r="H345"/>
    </row>
    <row r="346" spans="2:8" ht="15">
      <c r="B346"/>
      <c r="C346"/>
      <c r="D346"/>
      <c r="E346" s="40"/>
      <c r="F346"/>
      <c r="G346"/>
      <c r="H346"/>
    </row>
    <row r="347" spans="2:8" ht="15">
      <c r="B347"/>
      <c r="C347"/>
      <c r="D347"/>
      <c r="E347" s="40"/>
      <c r="F347"/>
      <c r="G347"/>
      <c r="H347"/>
    </row>
    <row r="348" spans="2:8" ht="15">
      <c r="B348"/>
      <c r="C348"/>
      <c r="D348"/>
      <c r="E348" s="40"/>
      <c r="F348"/>
      <c r="G348"/>
      <c r="H348"/>
    </row>
    <row r="349" spans="2:8" ht="15">
      <c r="B349"/>
      <c r="C349"/>
      <c r="D349"/>
      <c r="E349" s="40"/>
      <c r="F349"/>
      <c r="G349"/>
      <c r="H349"/>
    </row>
    <row r="350" spans="2:8" ht="15">
      <c r="B350"/>
      <c r="C350"/>
      <c r="D350"/>
      <c r="E350" s="40"/>
      <c r="F350"/>
      <c r="G350"/>
      <c r="H350"/>
    </row>
    <row r="351" spans="2:8" ht="15">
      <c r="B351"/>
      <c r="C351"/>
      <c r="D351"/>
      <c r="E351" s="40"/>
      <c r="F351"/>
      <c r="G351"/>
      <c r="H351"/>
    </row>
    <row r="352" spans="2:8" ht="15">
      <c r="B352"/>
      <c r="C352"/>
      <c r="D352"/>
      <c r="E352" s="40"/>
      <c r="F352"/>
      <c r="G352"/>
      <c r="H352"/>
    </row>
    <row r="353" spans="2:8" ht="15">
      <c r="B353"/>
      <c r="C353"/>
      <c r="D353"/>
      <c r="E353" s="40"/>
      <c r="F353"/>
      <c r="G353"/>
      <c r="H353"/>
    </row>
    <row r="354" spans="2:8" ht="15">
      <c r="B354"/>
      <c r="C354"/>
      <c r="D354"/>
      <c r="E354" s="40"/>
      <c r="F354"/>
      <c r="G354"/>
      <c r="H354"/>
    </row>
    <row r="355" spans="2:8" ht="15">
      <c r="B355"/>
      <c r="C355"/>
      <c r="D355"/>
      <c r="E355" s="40"/>
      <c r="F355"/>
      <c r="G355"/>
      <c r="H355"/>
    </row>
    <row r="356" spans="2:8" ht="15">
      <c r="B356"/>
      <c r="C356"/>
      <c r="D356"/>
      <c r="E356" s="40"/>
      <c r="F356"/>
      <c r="G356"/>
      <c r="H356"/>
    </row>
    <row r="357" spans="2:8" ht="15">
      <c r="B357"/>
      <c r="C357"/>
      <c r="D357"/>
      <c r="E357" s="40"/>
      <c r="F357"/>
      <c r="G357"/>
      <c r="H357"/>
    </row>
    <row r="358" spans="2:8" ht="15">
      <c r="B358"/>
      <c r="C358"/>
      <c r="D358"/>
      <c r="E358" s="40"/>
      <c r="F358"/>
      <c r="G358"/>
      <c r="H358"/>
    </row>
    <row r="359" spans="2:8" ht="15">
      <c r="B359"/>
      <c r="C359"/>
      <c r="D359"/>
      <c r="E359" s="40"/>
      <c r="F359"/>
      <c r="G359"/>
      <c r="H359"/>
    </row>
    <row r="360" spans="2:8" ht="15">
      <c r="B360"/>
      <c r="C360"/>
      <c r="D360"/>
      <c r="E360" s="40"/>
      <c r="F360"/>
      <c r="G360"/>
      <c r="H360"/>
    </row>
    <row r="361" spans="2:8" ht="15">
      <c r="B361"/>
      <c r="C361"/>
      <c r="D361"/>
      <c r="E361" s="40"/>
      <c r="F361"/>
      <c r="G361"/>
      <c r="H361"/>
    </row>
    <row r="362" spans="2:8" ht="15">
      <c r="B362"/>
      <c r="C362"/>
      <c r="D362"/>
      <c r="E362" s="40"/>
      <c r="F362"/>
      <c r="G362"/>
      <c r="H362"/>
    </row>
    <row r="363" spans="2:8" ht="15">
      <c r="B363"/>
      <c r="C363"/>
      <c r="D363"/>
      <c r="E363" s="40"/>
      <c r="F363"/>
      <c r="G363"/>
      <c r="H363"/>
    </row>
    <row r="364" spans="2:8" ht="15">
      <c r="B364"/>
      <c r="C364"/>
      <c r="D364"/>
      <c r="E364" s="40"/>
      <c r="F364"/>
      <c r="G364"/>
      <c r="H364"/>
    </row>
    <row r="365" spans="2:8" ht="15">
      <c r="B365"/>
      <c r="C365"/>
      <c r="D365"/>
      <c r="E365" s="40"/>
      <c r="F365"/>
      <c r="G365"/>
      <c r="H365"/>
    </row>
    <row r="366" spans="2:8" ht="15">
      <c r="B366"/>
      <c r="C366"/>
      <c r="D366"/>
      <c r="E366" s="40"/>
      <c r="F366"/>
      <c r="G366"/>
      <c r="H366"/>
    </row>
    <row r="367" spans="2:8" ht="15">
      <c r="B367"/>
      <c r="C367"/>
      <c r="D367"/>
      <c r="E367" s="40"/>
      <c r="F367"/>
      <c r="G367"/>
      <c r="H367"/>
    </row>
    <row r="368" spans="2:8" ht="15">
      <c r="B368"/>
      <c r="C368"/>
      <c r="D368"/>
      <c r="E368" s="40"/>
      <c r="F368"/>
      <c r="G368"/>
      <c r="H368"/>
    </row>
    <row r="369" spans="2:8" ht="15">
      <c r="B369"/>
      <c r="C369"/>
      <c r="D369"/>
      <c r="E369" s="40"/>
      <c r="F369"/>
      <c r="G369"/>
      <c r="H369"/>
    </row>
    <row r="370" spans="2:8" ht="15">
      <c r="B370"/>
      <c r="C370"/>
      <c r="D370"/>
      <c r="E370" s="40"/>
      <c r="F370"/>
      <c r="G370"/>
      <c r="H370"/>
    </row>
    <row r="371" spans="2:8" ht="15">
      <c r="B371"/>
      <c r="C371"/>
      <c r="D371"/>
      <c r="E371" s="40"/>
      <c r="F371"/>
      <c r="G371"/>
      <c r="H371"/>
    </row>
    <row r="372" spans="2:8" ht="15">
      <c r="B372"/>
      <c r="C372"/>
      <c r="D372"/>
      <c r="E372" s="40"/>
      <c r="F372"/>
      <c r="G372"/>
      <c r="H372"/>
    </row>
    <row r="373" spans="2:8" ht="15">
      <c r="B373"/>
      <c r="C373"/>
      <c r="D373"/>
      <c r="E373" s="40"/>
      <c r="F373"/>
      <c r="G373"/>
      <c r="H373"/>
    </row>
    <row r="374" spans="2:8" ht="15">
      <c r="B374"/>
      <c r="C374"/>
      <c r="D374"/>
      <c r="E374" s="40"/>
      <c r="F374"/>
      <c r="G374"/>
      <c r="H374"/>
    </row>
    <row r="375" spans="2:8" ht="15">
      <c r="B375"/>
      <c r="C375"/>
      <c r="D375"/>
      <c r="E375" s="40"/>
      <c r="F375"/>
      <c r="G375"/>
      <c r="H375"/>
    </row>
    <row r="376" spans="2:8" ht="15">
      <c r="B376"/>
      <c r="C376"/>
      <c r="D376"/>
      <c r="E376" s="40"/>
      <c r="F376"/>
      <c r="G376"/>
      <c r="H376"/>
    </row>
    <row r="377" spans="2:8" ht="15">
      <c r="B377"/>
      <c r="C377"/>
      <c r="D377"/>
      <c r="E377" s="40"/>
      <c r="F377"/>
      <c r="G377"/>
      <c r="H377"/>
    </row>
    <row r="378" spans="2:8" ht="15">
      <c r="B378"/>
      <c r="C378"/>
      <c r="D378"/>
      <c r="E378" s="40"/>
      <c r="F378"/>
      <c r="G378"/>
      <c r="H378"/>
    </row>
    <row r="379" spans="2:8" ht="15">
      <c r="B379"/>
      <c r="C379"/>
      <c r="D379"/>
      <c r="E379" s="40"/>
      <c r="F379"/>
      <c r="G379"/>
      <c r="H379"/>
    </row>
    <row r="380" spans="2:8" ht="15">
      <c r="B380"/>
      <c r="C380"/>
      <c r="D380"/>
      <c r="E380" s="40"/>
      <c r="F380"/>
      <c r="G380"/>
      <c r="H380"/>
    </row>
    <row r="381" spans="2:8" ht="15">
      <c r="B381"/>
      <c r="C381"/>
      <c r="D381"/>
      <c r="E381" s="40"/>
      <c r="F381"/>
      <c r="G381"/>
      <c r="H381"/>
    </row>
    <row r="382" spans="2:8" ht="15">
      <c r="B382"/>
      <c r="C382"/>
      <c r="D382"/>
      <c r="E382" s="40"/>
      <c r="F382"/>
      <c r="G382"/>
      <c r="H382"/>
    </row>
    <row r="383" spans="2:8" ht="15">
      <c r="B383"/>
      <c r="C383"/>
      <c r="D383"/>
      <c r="E383" s="40"/>
      <c r="F383"/>
      <c r="G383"/>
      <c r="H383"/>
    </row>
    <row r="384" spans="2:8" ht="15">
      <c r="B384"/>
      <c r="C384"/>
      <c r="D384"/>
      <c r="E384" s="40"/>
      <c r="F384"/>
      <c r="G384"/>
      <c r="H384"/>
    </row>
    <row r="385" spans="2:8" ht="15">
      <c r="B385"/>
      <c r="C385"/>
      <c r="D385"/>
      <c r="E385" s="40"/>
      <c r="F385"/>
      <c r="G385"/>
      <c r="H385"/>
    </row>
    <row r="386" spans="2:8" ht="15">
      <c r="B386"/>
      <c r="C386"/>
      <c r="D386"/>
      <c r="E386" s="40"/>
      <c r="F386"/>
      <c r="G386"/>
      <c r="H386"/>
    </row>
    <row r="387" spans="2:8" ht="15">
      <c r="B387"/>
      <c r="C387"/>
      <c r="D387"/>
      <c r="E387" s="40"/>
      <c r="F387"/>
      <c r="G387"/>
      <c r="H387"/>
    </row>
    <row r="388" spans="2:8" ht="15">
      <c r="B388"/>
      <c r="C388"/>
      <c r="D388"/>
      <c r="E388" s="40"/>
      <c r="F388"/>
      <c r="G388"/>
      <c r="H388"/>
    </row>
    <row r="389" spans="2:8" ht="15">
      <c r="B389"/>
      <c r="C389"/>
      <c r="D389"/>
      <c r="E389" s="40"/>
      <c r="F389"/>
      <c r="G389"/>
      <c r="H389"/>
    </row>
    <row r="390" spans="2:8" ht="15">
      <c r="B390"/>
      <c r="C390"/>
      <c r="D390"/>
      <c r="E390" s="40"/>
      <c r="F390"/>
      <c r="G390"/>
      <c r="H390"/>
    </row>
    <row r="391" spans="2:8" ht="15">
      <c r="B391"/>
      <c r="C391"/>
      <c r="D391"/>
      <c r="E391" s="40"/>
      <c r="F391"/>
      <c r="G391"/>
      <c r="H391"/>
    </row>
    <row r="392" spans="2:8" ht="15">
      <c r="B392"/>
      <c r="C392"/>
      <c r="D392"/>
      <c r="E392" s="40"/>
      <c r="F392"/>
      <c r="G392"/>
      <c r="H392"/>
    </row>
    <row r="393" spans="2:8" ht="15">
      <c r="B393"/>
      <c r="C393"/>
      <c r="D393"/>
      <c r="E393" s="40"/>
      <c r="F393"/>
      <c r="G393"/>
      <c r="H393"/>
    </row>
    <row r="394" spans="2:8">
      <c r="C394" s="6"/>
      <c r="D394" s="6"/>
      <c r="E394" s="45"/>
      <c r="F394" s="6"/>
    </row>
    <row r="395" spans="2:8">
      <c r="C395" s="6"/>
      <c r="D395" s="6"/>
      <c r="E395" s="45"/>
      <c r="F395" s="6"/>
    </row>
  </sheetData>
  <mergeCells count="1">
    <mergeCell ref="A1:H1"/>
  </mergeCells>
  <pageMargins left="0.7" right="0.7" top="0.75" bottom="0.75" header="0.3" footer="0.3"/>
  <pageSetup orientation="portrait" r:id="rId2"/>
  <customProperties>
    <customPr name="_pios_id" r:id="rId3"/>
  </customProperties>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5"/>
  <sheetViews>
    <sheetView showGridLines="0" zoomScale="80" zoomScaleNormal="80" workbookViewId="0">
      <selection sqref="A1:H1"/>
    </sheetView>
  </sheetViews>
  <sheetFormatPr baseColWidth="10" defaultColWidth="10.85546875" defaultRowHeight="12.75"/>
  <cols>
    <col min="1" max="1" width="6.5703125" style="6" customWidth="1"/>
    <col min="2" max="2" width="18.5703125" style="6" customWidth="1"/>
    <col min="3" max="3" width="21.5703125" style="7" customWidth="1"/>
    <col min="4" max="4" width="21.5703125" style="11" customWidth="1"/>
    <col min="5" max="5" width="23.5703125" style="11" customWidth="1"/>
    <col min="6" max="6" width="50.5703125" style="11" customWidth="1"/>
    <col min="7" max="7" width="15.5703125" style="6" customWidth="1"/>
    <col min="8" max="8" width="12.5703125" style="6" customWidth="1"/>
    <col min="9" max="9" width="14.42578125" style="6" bestFit="1" customWidth="1"/>
    <col min="10" max="16384" width="10.85546875" style="6"/>
  </cols>
  <sheetData>
    <row r="1" spans="1:13" ht="26.25">
      <c r="A1" s="51" t="s">
        <v>65</v>
      </c>
      <c r="B1" s="51"/>
      <c r="C1" s="51"/>
      <c r="D1" s="51"/>
      <c r="E1" s="51"/>
      <c r="F1" s="51"/>
      <c r="G1" s="51"/>
      <c r="H1" s="51"/>
      <c r="I1" s="33"/>
    </row>
    <row r="3" spans="1:13">
      <c r="B3" s="9" t="s">
        <v>7</v>
      </c>
      <c r="C3" s="10" t="s">
        <v>91</v>
      </c>
    </row>
    <row r="5" spans="1:13" ht="15">
      <c r="B5" s="38" t="s">
        <v>69</v>
      </c>
      <c r="C5" s="39"/>
      <c r="D5" s="39"/>
      <c r="E5" s="39"/>
      <c r="F5" s="39"/>
      <c r="G5" s="10"/>
      <c r="H5"/>
      <c r="I5"/>
      <c r="J5"/>
      <c r="K5"/>
      <c r="L5"/>
      <c r="M5"/>
    </row>
    <row r="6" spans="1:13" s="7" customFormat="1" ht="15">
      <c r="B6" s="13" t="s">
        <v>12</v>
      </c>
      <c r="C6" s="13" t="s">
        <v>13</v>
      </c>
      <c r="D6" s="14" t="s">
        <v>14</v>
      </c>
      <c r="E6" s="13" t="s">
        <v>15</v>
      </c>
      <c r="F6" s="13" t="s">
        <v>27</v>
      </c>
      <c r="G6" s="10" t="s">
        <v>62</v>
      </c>
      <c r="H6"/>
      <c r="I6"/>
      <c r="J6"/>
      <c r="K6"/>
      <c r="L6"/>
      <c r="M6"/>
    </row>
    <row r="7" spans="1:13" ht="15">
      <c r="B7" s="10" t="s">
        <v>90</v>
      </c>
      <c r="C7" s="10"/>
      <c r="D7" s="10"/>
      <c r="E7" s="10"/>
      <c r="F7" s="10"/>
      <c r="G7" s="16"/>
      <c r="H7"/>
      <c r="I7"/>
      <c r="J7"/>
      <c r="K7"/>
      <c r="L7"/>
      <c r="M7"/>
    </row>
    <row r="8" spans="1:13" ht="15">
      <c r="B8"/>
      <c r="C8"/>
      <c r="D8"/>
      <c r="E8"/>
      <c r="F8"/>
      <c r="G8"/>
      <c r="H8"/>
      <c r="I8"/>
      <c r="J8"/>
      <c r="K8"/>
      <c r="L8"/>
      <c r="M8"/>
    </row>
    <row r="9" spans="1:13" ht="15">
      <c r="B9"/>
      <c r="C9"/>
      <c r="D9"/>
      <c r="E9"/>
      <c r="F9"/>
      <c r="G9"/>
      <c r="H9"/>
      <c r="I9"/>
      <c r="J9"/>
      <c r="K9"/>
      <c r="L9"/>
      <c r="M9"/>
    </row>
    <row r="10" spans="1:13" ht="15">
      <c r="B10"/>
      <c r="C10"/>
      <c r="D10"/>
      <c r="E10"/>
      <c r="F10"/>
      <c r="G10"/>
      <c r="H10"/>
      <c r="I10"/>
      <c r="J10"/>
      <c r="K10"/>
      <c r="L10"/>
      <c r="M10"/>
    </row>
    <row r="11" spans="1:13" ht="15">
      <c r="B11"/>
      <c r="C11"/>
      <c r="D11"/>
      <c r="E11"/>
      <c r="F11"/>
      <c r="G11"/>
      <c r="H11"/>
      <c r="I11"/>
      <c r="J11"/>
      <c r="K11"/>
      <c r="L11"/>
      <c r="M11"/>
    </row>
    <row r="12" spans="1:13" ht="15">
      <c r="B12"/>
      <c r="C12"/>
      <c r="D12"/>
      <c r="E12"/>
      <c r="F12"/>
      <c r="G12"/>
      <c r="H12"/>
      <c r="I12"/>
      <c r="J12"/>
      <c r="K12"/>
      <c r="L12"/>
      <c r="M12"/>
    </row>
    <row r="13" spans="1:13" ht="15">
      <c r="B13"/>
      <c r="C13"/>
      <c r="D13"/>
      <c r="E13"/>
      <c r="F13"/>
      <c r="G13"/>
      <c r="H13"/>
      <c r="I13"/>
      <c r="J13"/>
      <c r="K13"/>
      <c r="L13"/>
      <c r="M13"/>
    </row>
    <row r="14" spans="1:13" ht="15">
      <c r="B14"/>
      <c r="C14"/>
      <c r="D14"/>
      <c r="E14"/>
      <c r="F14"/>
      <c r="G14"/>
      <c r="H14"/>
      <c r="I14"/>
      <c r="J14"/>
      <c r="K14"/>
      <c r="L14"/>
      <c r="M14"/>
    </row>
    <row r="15" spans="1:13" ht="15">
      <c r="B15"/>
      <c r="C15"/>
      <c r="D15"/>
      <c r="E15"/>
      <c r="F15"/>
      <c r="G15"/>
      <c r="H15"/>
      <c r="I15"/>
      <c r="J15"/>
      <c r="K15"/>
      <c r="L15"/>
      <c r="M15"/>
    </row>
    <row r="16" spans="1:13" ht="15">
      <c r="B16"/>
      <c r="C16"/>
      <c r="D16"/>
      <c r="E16"/>
      <c r="F16"/>
      <c r="G16"/>
      <c r="H16"/>
      <c r="I16"/>
      <c r="J16"/>
      <c r="K16"/>
      <c r="L16"/>
      <c r="M16"/>
    </row>
    <row r="17" spans="2:13" ht="15">
      <c r="B17"/>
      <c r="C17"/>
      <c r="D17"/>
      <c r="E17"/>
      <c r="F17"/>
      <c r="G17"/>
      <c r="H17"/>
      <c r="I17"/>
      <c r="J17"/>
      <c r="K17"/>
      <c r="L17"/>
      <c r="M17"/>
    </row>
    <row r="18" spans="2:13" ht="15">
      <c r="B18"/>
      <c r="C18"/>
      <c r="D18"/>
      <c r="E18"/>
      <c r="F18"/>
      <c r="G18"/>
      <c r="H18"/>
      <c r="I18"/>
      <c r="J18"/>
      <c r="K18"/>
      <c r="L18"/>
      <c r="M18"/>
    </row>
    <row r="19" spans="2:13" ht="15">
      <c r="B19"/>
      <c r="C19"/>
      <c r="D19"/>
      <c r="E19"/>
      <c r="F19"/>
      <c r="G19"/>
      <c r="H19"/>
      <c r="I19"/>
      <c r="J19"/>
      <c r="K19"/>
      <c r="L19"/>
      <c r="M19"/>
    </row>
    <row r="20" spans="2:13" ht="15">
      <c r="B20"/>
      <c r="C20"/>
      <c r="D20"/>
      <c r="E20"/>
      <c r="F20"/>
      <c r="G20"/>
      <c r="H20"/>
      <c r="I20"/>
      <c r="J20"/>
      <c r="K20"/>
      <c r="L20"/>
      <c r="M20"/>
    </row>
    <row r="21" spans="2:13" ht="15">
      <c r="B21"/>
      <c r="C21"/>
      <c r="D21"/>
      <c r="E21"/>
      <c r="F21"/>
      <c r="G21"/>
      <c r="H21"/>
      <c r="I21"/>
      <c r="J21"/>
      <c r="K21"/>
      <c r="L21"/>
      <c r="M21"/>
    </row>
    <row r="22" spans="2:13" ht="15">
      <c r="B22"/>
      <c r="C22"/>
      <c r="D22"/>
      <c r="E22"/>
      <c r="F22"/>
      <c r="G22"/>
      <c r="H22"/>
      <c r="I22"/>
      <c r="J22"/>
      <c r="K22"/>
      <c r="L22"/>
      <c r="M22"/>
    </row>
    <row r="23" spans="2:13" ht="15">
      <c r="B23"/>
      <c r="C23"/>
      <c r="D23"/>
      <c r="E23"/>
      <c r="F23"/>
      <c r="G23"/>
      <c r="H23"/>
      <c r="I23"/>
      <c r="J23"/>
      <c r="K23"/>
      <c r="L23"/>
      <c r="M23"/>
    </row>
    <row r="24" spans="2:13" ht="15">
      <c r="B24"/>
      <c r="C24"/>
      <c r="D24"/>
      <c r="E24"/>
      <c r="F24"/>
      <c r="G24"/>
      <c r="H24"/>
      <c r="I24"/>
      <c r="J24"/>
      <c r="K24"/>
      <c r="L24"/>
      <c r="M24"/>
    </row>
    <row r="25" spans="2:13" ht="15">
      <c r="B25"/>
      <c r="C25"/>
      <c r="D25"/>
      <c r="E25"/>
      <c r="F25"/>
      <c r="G25"/>
      <c r="H25"/>
      <c r="I25"/>
      <c r="J25"/>
      <c r="K25"/>
      <c r="L25"/>
      <c r="M25"/>
    </row>
    <row r="26" spans="2:13" ht="15">
      <c r="B26"/>
      <c r="C26"/>
      <c r="D26"/>
      <c r="E26"/>
      <c r="F26"/>
      <c r="G26"/>
      <c r="H26"/>
      <c r="I26"/>
      <c r="J26"/>
      <c r="K26"/>
      <c r="L26"/>
      <c r="M26"/>
    </row>
    <row r="27" spans="2:13" ht="15">
      <c r="B27"/>
      <c r="C27"/>
      <c r="D27"/>
      <c r="E27"/>
      <c r="F27"/>
      <c r="G27"/>
      <c r="H27"/>
      <c r="I27"/>
      <c r="J27"/>
      <c r="K27"/>
      <c r="L27"/>
      <c r="M27"/>
    </row>
    <row r="28" spans="2:13" ht="15">
      <c r="B28"/>
      <c r="C28"/>
      <c r="D28"/>
      <c r="E28"/>
      <c r="F28"/>
      <c r="G28"/>
      <c r="H28"/>
      <c r="I28"/>
      <c r="J28"/>
      <c r="K28"/>
      <c r="L28"/>
      <c r="M28"/>
    </row>
    <row r="29" spans="2:13" ht="15">
      <c r="B29"/>
      <c r="C29"/>
      <c r="D29"/>
      <c r="E29"/>
      <c r="F29"/>
      <c r="G29"/>
      <c r="H29"/>
      <c r="I29"/>
      <c r="J29"/>
      <c r="K29"/>
      <c r="L29"/>
      <c r="M29"/>
    </row>
    <row r="30" spans="2:13" ht="15">
      <c r="B30"/>
      <c r="C30"/>
      <c r="D30"/>
      <c r="E30"/>
      <c r="F30"/>
      <c r="G30"/>
      <c r="H30"/>
      <c r="I30"/>
      <c r="J30"/>
      <c r="K30"/>
      <c r="L30"/>
      <c r="M30"/>
    </row>
    <row r="31" spans="2:13" ht="15">
      <c r="B31"/>
      <c r="C31"/>
      <c r="D31"/>
      <c r="E31"/>
      <c r="F31"/>
      <c r="G31"/>
      <c r="H31"/>
      <c r="I31"/>
      <c r="J31"/>
      <c r="K31"/>
      <c r="L31"/>
      <c r="M31"/>
    </row>
    <row r="32" spans="2:13" ht="15">
      <c r="B32"/>
      <c r="C32"/>
      <c r="D32"/>
      <c r="E32"/>
      <c r="F32"/>
      <c r="G32"/>
      <c r="H32"/>
      <c r="I32"/>
      <c r="J32"/>
      <c r="K32"/>
      <c r="L32"/>
      <c r="M32"/>
    </row>
    <row r="33" spans="2:13" ht="15">
      <c r="B33"/>
      <c r="C33"/>
      <c r="D33"/>
      <c r="E33"/>
      <c r="F33"/>
      <c r="G33"/>
      <c r="H33"/>
      <c r="I33"/>
      <c r="J33"/>
      <c r="K33"/>
      <c r="L33"/>
      <c r="M33"/>
    </row>
    <row r="34" spans="2:13" ht="15">
      <c r="B34"/>
      <c r="C34"/>
      <c r="D34"/>
      <c r="E34"/>
      <c r="F34"/>
      <c r="G34"/>
      <c r="H34"/>
      <c r="I34"/>
      <c r="J34"/>
      <c r="K34"/>
      <c r="L34"/>
      <c r="M34"/>
    </row>
    <row r="35" spans="2:13" ht="15">
      <c r="B35"/>
      <c r="C35"/>
      <c r="D35"/>
      <c r="E35"/>
      <c r="F35"/>
      <c r="G35"/>
      <c r="H35"/>
      <c r="I35"/>
      <c r="J35"/>
      <c r="K35"/>
      <c r="L35"/>
      <c r="M35"/>
    </row>
    <row r="36" spans="2:13" ht="15">
      <c r="B36"/>
      <c r="C36"/>
      <c r="D36"/>
      <c r="E36"/>
      <c r="F36"/>
      <c r="G36"/>
      <c r="H36"/>
      <c r="I36"/>
      <c r="J36"/>
      <c r="K36"/>
      <c r="L36"/>
      <c r="M36"/>
    </row>
    <row r="37" spans="2:13" ht="15">
      <c r="B37"/>
      <c r="C37"/>
      <c r="D37"/>
      <c r="E37"/>
      <c r="F37"/>
      <c r="G37"/>
      <c r="H37"/>
      <c r="I37"/>
      <c r="J37"/>
      <c r="K37"/>
      <c r="L37"/>
      <c r="M37"/>
    </row>
    <row r="38" spans="2:13" ht="15">
      <c r="B38"/>
      <c r="C38"/>
      <c r="D38"/>
      <c r="E38"/>
      <c r="F38"/>
      <c r="G38"/>
      <c r="H38"/>
      <c r="I38"/>
      <c r="J38"/>
      <c r="K38"/>
      <c r="L38"/>
      <c r="M38"/>
    </row>
    <row r="39" spans="2:13" ht="15">
      <c r="B39"/>
      <c r="C39"/>
      <c r="D39"/>
      <c r="E39"/>
      <c r="F39"/>
      <c r="G39"/>
      <c r="H39"/>
      <c r="I39"/>
      <c r="J39"/>
      <c r="K39"/>
      <c r="L39"/>
      <c r="M39"/>
    </row>
    <row r="40" spans="2:13" ht="15">
      <c r="B40"/>
      <c r="C40"/>
      <c r="D40"/>
      <c r="E40"/>
      <c r="F40"/>
      <c r="G40"/>
      <c r="H40"/>
      <c r="I40"/>
      <c r="J40"/>
      <c r="K40"/>
      <c r="L40"/>
      <c r="M40"/>
    </row>
    <row r="41" spans="2:13" ht="15">
      <c r="B41"/>
      <c r="C41"/>
      <c r="D41"/>
      <c r="E41"/>
      <c r="F41"/>
      <c r="G41"/>
      <c r="H41"/>
      <c r="I41"/>
      <c r="J41"/>
      <c r="K41"/>
      <c r="L41"/>
      <c r="M41"/>
    </row>
    <row r="42" spans="2:13" ht="15">
      <c r="B42"/>
      <c r="C42"/>
      <c r="D42"/>
      <c r="E42"/>
      <c r="F42"/>
      <c r="G42"/>
      <c r="H42"/>
      <c r="I42"/>
      <c r="J42"/>
      <c r="K42"/>
      <c r="L42"/>
      <c r="M42"/>
    </row>
    <row r="43" spans="2:13" ht="15">
      <c r="B43"/>
      <c r="C43"/>
      <c r="D43"/>
      <c r="E43"/>
      <c r="F43"/>
      <c r="G43"/>
      <c r="H43"/>
      <c r="I43"/>
      <c r="J43"/>
      <c r="K43"/>
      <c r="L43"/>
      <c r="M43"/>
    </row>
    <row r="44" spans="2:13" ht="15">
      <c r="B44"/>
      <c r="C44"/>
      <c r="D44"/>
      <c r="E44"/>
      <c r="F44"/>
      <c r="G44"/>
      <c r="H44"/>
      <c r="I44"/>
      <c r="J44"/>
      <c r="K44"/>
      <c r="L44"/>
      <c r="M44"/>
    </row>
    <row r="45" spans="2:13" ht="15">
      <c r="B45"/>
      <c r="C45"/>
      <c r="D45"/>
      <c r="E45"/>
      <c r="F45"/>
      <c r="G45"/>
      <c r="H45"/>
      <c r="I45"/>
      <c r="J45"/>
      <c r="K45"/>
      <c r="L45"/>
      <c r="M45"/>
    </row>
    <row r="46" spans="2:13" ht="15">
      <c r="B46"/>
      <c r="C46"/>
      <c r="D46"/>
      <c r="E46"/>
      <c r="F46"/>
      <c r="G46"/>
      <c r="H46"/>
      <c r="I46"/>
      <c r="J46"/>
      <c r="K46"/>
      <c r="L46"/>
      <c r="M46"/>
    </row>
    <row r="47" spans="2:13" ht="15">
      <c r="B47"/>
      <c r="C47"/>
      <c r="D47"/>
      <c r="E47"/>
      <c r="F47"/>
      <c r="G47"/>
      <c r="H47"/>
      <c r="I47"/>
      <c r="J47"/>
      <c r="K47"/>
      <c r="L47"/>
      <c r="M47"/>
    </row>
    <row r="48" spans="2:13" ht="15">
      <c r="B48"/>
      <c r="C48"/>
      <c r="D48"/>
      <c r="E48"/>
      <c r="F48"/>
      <c r="G48"/>
      <c r="H48"/>
      <c r="I48"/>
      <c r="J48"/>
      <c r="K48"/>
      <c r="L48"/>
      <c r="M48"/>
    </row>
    <row r="49" spans="2:13" ht="15">
      <c r="B49"/>
      <c r="C49"/>
      <c r="D49"/>
      <c r="E49"/>
      <c r="F49"/>
      <c r="G49"/>
      <c r="H49"/>
      <c r="I49"/>
      <c r="J49"/>
      <c r="K49"/>
      <c r="L49"/>
      <c r="M49"/>
    </row>
    <row r="50" spans="2:13" ht="15">
      <c r="B50"/>
      <c r="C50"/>
      <c r="D50"/>
      <c r="E50"/>
      <c r="F50"/>
      <c r="G50"/>
      <c r="H50"/>
      <c r="I50"/>
      <c r="J50"/>
      <c r="K50"/>
      <c r="L50"/>
      <c r="M50"/>
    </row>
    <row r="51" spans="2:13" ht="15">
      <c r="B51"/>
      <c r="C51"/>
      <c r="D51"/>
      <c r="E51"/>
      <c r="F51"/>
      <c r="G51"/>
      <c r="H51"/>
      <c r="I51"/>
      <c r="J51"/>
      <c r="K51"/>
      <c r="L51"/>
      <c r="M51"/>
    </row>
    <row r="52" spans="2:13" ht="15">
      <c r="B52"/>
      <c r="C52"/>
      <c r="D52"/>
      <c r="E52"/>
      <c r="F52"/>
      <c r="G52"/>
      <c r="H52"/>
      <c r="I52"/>
      <c r="J52"/>
      <c r="K52"/>
      <c r="L52"/>
      <c r="M52"/>
    </row>
    <row r="53" spans="2:13" ht="15">
      <c r="B53"/>
      <c r="C53"/>
      <c r="D53"/>
      <c r="E53"/>
      <c r="F53"/>
      <c r="G53"/>
      <c r="H53"/>
      <c r="I53"/>
      <c r="J53"/>
      <c r="K53"/>
      <c r="L53"/>
      <c r="M53"/>
    </row>
    <row r="54" spans="2:13" ht="15">
      <c r="B54"/>
      <c r="C54"/>
      <c r="D54"/>
      <c r="E54"/>
      <c r="F54"/>
      <c r="G54"/>
      <c r="H54"/>
      <c r="I54"/>
      <c r="J54"/>
      <c r="K54"/>
      <c r="L54"/>
      <c r="M54"/>
    </row>
    <row r="55" spans="2:13" ht="15">
      <c r="B55"/>
      <c r="C55"/>
      <c r="D55"/>
      <c r="E55"/>
      <c r="F55"/>
      <c r="G55"/>
      <c r="H55"/>
      <c r="I55"/>
      <c r="J55"/>
      <c r="K55"/>
      <c r="L55"/>
      <c r="M55"/>
    </row>
    <row r="56" spans="2:13" ht="15">
      <c r="B56"/>
      <c r="C56"/>
      <c r="D56"/>
      <c r="E56"/>
      <c r="F56"/>
      <c r="G56"/>
      <c r="H56"/>
      <c r="I56"/>
      <c r="J56"/>
      <c r="K56"/>
      <c r="L56"/>
      <c r="M56"/>
    </row>
    <row r="57" spans="2:13" ht="15">
      <c r="B57"/>
      <c r="C57"/>
      <c r="D57"/>
      <c r="E57"/>
      <c r="F57"/>
      <c r="G57"/>
      <c r="H57"/>
      <c r="I57"/>
      <c r="J57"/>
      <c r="K57"/>
      <c r="L57"/>
      <c r="M57"/>
    </row>
    <row r="58" spans="2:13" ht="15">
      <c r="B58"/>
      <c r="C58"/>
      <c r="D58"/>
      <c r="E58"/>
      <c r="F58"/>
      <c r="G58"/>
      <c r="H58"/>
      <c r="I58"/>
      <c r="J58"/>
      <c r="K58"/>
      <c r="L58"/>
      <c r="M58"/>
    </row>
    <row r="59" spans="2:13" ht="15">
      <c r="B59"/>
      <c r="C59"/>
      <c r="D59"/>
      <c r="E59"/>
      <c r="F59"/>
      <c r="G59"/>
      <c r="H59"/>
      <c r="I59"/>
      <c r="J59"/>
      <c r="K59"/>
      <c r="L59"/>
      <c r="M59"/>
    </row>
    <row r="60" spans="2:13" ht="15">
      <c r="B60"/>
      <c r="C60"/>
      <c r="D60"/>
      <c r="E60"/>
      <c r="F60"/>
      <c r="G60"/>
      <c r="H60"/>
      <c r="I60"/>
      <c r="J60"/>
      <c r="K60"/>
      <c r="L60"/>
      <c r="M60"/>
    </row>
    <row r="61" spans="2:13" ht="15">
      <c r="B61"/>
      <c r="C61"/>
      <c r="D61"/>
      <c r="E61"/>
      <c r="F61"/>
      <c r="G61"/>
      <c r="H61"/>
      <c r="I61"/>
      <c r="J61"/>
      <c r="K61"/>
      <c r="L61"/>
      <c r="M61"/>
    </row>
    <row r="62" spans="2:13" ht="15">
      <c r="B62"/>
      <c r="C62"/>
      <c r="D62"/>
      <c r="E62"/>
      <c r="F62"/>
      <c r="G62"/>
      <c r="H62"/>
      <c r="I62"/>
      <c r="J62"/>
      <c r="K62"/>
      <c r="L62"/>
      <c r="M62"/>
    </row>
    <row r="63" spans="2:13" ht="15">
      <c r="B63"/>
      <c r="C63"/>
      <c r="D63"/>
      <c r="E63"/>
      <c r="F63"/>
      <c r="G63"/>
      <c r="H63"/>
      <c r="I63"/>
      <c r="J63"/>
      <c r="K63"/>
      <c r="L63"/>
      <c r="M63"/>
    </row>
    <row r="64" spans="2:13" ht="15">
      <c r="B64"/>
      <c r="C64"/>
      <c r="D64"/>
      <c r="E64"/>
      <c r="F64"/>
      <c r="G64"/>
      <c r="H64"/>
      <c r="I64"/>
      <c r="J64"/>
      <c r="K64"/>
      <c r="L64"/>
      <c r="M64"/>
    </row>
    <row r="65" spans="2:13" ht="15">
      <c r="B65"/>
      <c r="C65"/>
      <c r="D65"/>
      <c r="E65"/>
      <c r="F65"/>
      <c r="G65"/>
      <c r="H65"/>
      <c r="I65"/>
      <c r="J65"/>
      <c r="K65"/>
      <c r="L65"/>
      <c r="M65"/>
    </row>
    <row r="66" spans="2:13" ht="15">
      <c r="B66"/>
      <c r="C66"/>
      <c r="D66"/>
      <c r="E66"/>
      <c r="F66"/>
      <c r="G66"/>
      <c r="H66"/>
      <c r="I66"/>
      <c r="J66"/>
      <c r="K66"/>
      <c r="L66"/>
      <c r="M66"/>
    </row>
    <row r="67" spans="2:13" ht="15">
      <c r="B67"/>
      <c r="C67"/>
      <c r="D67"/>
      <c r="E67"/>
      <c r="F67"/>
      <c r="G67"/>
      <c r="H67"/>
      <c r="I67"/>
      <c r="J67"/>
      <c r="K67"/>
      <c r="L67"/>
      <c r="M67"/>
    </row>
    <row r="68" spans="2:13" ht="15">
      <c r="B68"/>
      <c r="C68"/>
      <c r="D68"/>
      <c r="E68"/>
      <c r="F68"/>
      <c r="G68"/>
      <c r="H68"/>
      <c r="I68"/>
      <c r="J68"/>
      <c r="K68"/>
      <c r="L68"/>
      <c r="M68"/>
    </row>
    <row r="69" spans="2:13" ht="15">
      <c r="B69"/>
      <c r="C69"/>
      <c r="D69"/>
      <c r="E69"/>
      <c r="F69"/>
      <c r="G69"/>
      <c r="H69"/>
      <c r="I69"/>
      <c r="J69"/>
      <c r="K69"/>
      <c r="L69"/>
      <c r="M69"/>
    </row>
    <row r="70" spans="2:13" ht="15">
      <c r="B70"/>
      <c r="C70"/>
      <c r="D70"/>
      <c r="E70"/>
      <c r="F70"/>
      <c r="G70"/>
      <c r="H70"/>
      <c r="I70"/>
      <c r="J70"/>
      <c r="K70"/>
      <c r="L70"/>
      <c r="M70"/>
    </row>
    <row r="71" spans="2:13" ht="15">
      <c r="B71"/>
      <c r="C71"/>
      <c r="D71"/>
      <c r="E71"/>
      <c r="F71"/>
      <c r="G71"/>
      <c r="H71"/>
      <c r="I71"/>
      <c r="J71"/>
      <c r="K71"/>
      <c r="L71"/>
      <c r="M71"/>
    </row>
    <row r="72" spans="2:13" ht="15">
      <c r="B72"/>
      <c r="C72"/>
      <c r="D72"/>
      <c r="E72"/>
      <c r="F72"/>
      <c r="G72"/>
      <c r="H72"/>
      <c r="I72"/>
      <c r="J72"/>
      <c r="K72"/>
      <c r="L72"/>
      <c r="M72"/>
    </row>
    <row r="73" spans="2:13" ht="15">
      <c r="B73"/>
      <c r="C73"/>
      <c r="D73"/>
      <c r="E73"/>
      <c r="F73"/>
      <c r="G73"/>
      <c r="H73"/>
      <c r="I73"/>
      <c r="J73"/>
      <c r="K73"/>
      <c r="L73"/>
      <c r="M73"/>
    </row>
    <row r="74" spans="2:13" ht="15">
      <c r="B74"/>
      <c r="C74"/>
      <c r="D74"/>
      <c r="E74"/>
      <c r="F74"/>
      <c r="G74"/>
      <c r="H74"/>
      <c r="I74"/>
      <c r="J74"/>
      <c r="K74"/>
      <c r="L74"/>
      <c r="M74"/>
    </row>
    <row r="75" spans="2:13" ht="15">
      <c r="B75"/>
      <c r="C75"/>
      <c r="D75"/>
      <c r="E75"/>
      <c r="F75"/>
      <c r="G75"/>
      <c r="H75"/>
      <c r="I75"/>
      <c r="J75"/>
      <c r="K75"/>
      <c r="L75"/>
      <c r="M75"/>
    </row>
    <row r="76" spans="2:13" ht="15">
      <c r="B76"/>
      <c r="C76"/>
      <c r="D76"/>
      <c r="E76"/>
      <c r="F76"/>
      <c r="G76"/>
      <c r="H76"/>
      <c r="I76"/>
      <c r="J76"/>
      <c r="K76"/>
      <c r="L76"/>
      <c r="M76"/>
    </row>
    <row r="77" spans="2:13" ht="15">
      <c r="B77"/>
      <c r="C77"/>
      <c r="D77"/>
      <c r="E77"/>
      <c r="F77"/>
      <c r="G77"/>
      <c r="H77"/>
      <c r="I77"/>
      <c r="J77"/>
      <c r="K77"/>
      <c r="L77"/>
      <c r="M77"/>
    </row>
    <row r="78" spans="2:13" ht="15">
      <c r="B78"/>
      <c r="C78"/>
      <c r="D78"/>
      <c r="E78"/>
      <c r="F78"/>
      <c r="G78"/>
      <c r="H78"/>
      <c r="I78"/>
      <c r="J78"/>
      <c r="K78"/>
      <c r="L78"/>
      <c r="M78"/>
    </row>
    <row r="79" spans="2:13" ht="15">
      <c r="B79"/>
      <c r="C79"/>
      <c r="D79"/>
      <c r="E79"/>
      <c r="F79"/>
      <c r="G79"/>
      <c r="H79"/>
      <c r="I79"/>
      <c r="J79"/>
      <c r="K79"/>
      <c r="L79"/>
      <c r="M79"/>
    </row>
    <row r="80" spans="2:13" ht="15">
      <c r="B80"/>
      <c r="C80"/>
      <c r="D80"/>
      <c r="E80"/>
      <c r="F80"/>
      <c r="G80"/>
      <c r="H80"/>
      <c r="I80"/>
      <c r="J80"/>
      <c r="K80"/>
      <c r="L80"/>
      <c r="M80"/>
    </row>
    <row r="81" spans="2:13" ht="15">
      <c r="B81"/>
      <c r="C81"/>
      <c r="D81"/>
      <c r="E81"/>
      <c r="F81"/>
      <c r="G81"/>
      <c r="H81"/>
      <c r="I81"/>
      <c r="J81"/>
      <c r="K81"/>
      <c r="L81"/>
      <c r="M81"/>
    </row>
    <row r="82" spans="2:13" ht="15">
      <c r="B82"/>
      <c r="C82"/>
      <c r="D82"/>
      <c r="E82"/>
      <c r="F82"/>
      <c r="G82"/>
      <c r="H82"/>
      <c r="I82"/>
      <c r="J82"/>
      <c r="K82"/>
      <c r="L82"/>
      <c r="M82"/>
    </row>
    <row r="83" spans="2:13" ht="15">
      <c r="B83"/>
      <c r="C83"/>
      <c r="D83"/>
      <c r="E83"/>
      <c r="F83"/>
      <c r="G83"/>
      <c r="H83"/>
      <c r="I83"/>
      <c r="J83"/>
      <c r="K83"/>
      <c r="L83"/>
      <c r="M83"/>
    </row>
    <row r="84" spans="2:13" ht="15">
      <c r="B84"/>
      <c r="C84"/>
      <c r="D84"/>
      <c r="E84"/>
      <c r="F84"/>
      <c r="G84"/>
      <c r="H84"/>
      <c r="I84"/>
      <c r="J84"/>
      <c r="K84"/>
      <c r="L84"/>
      <c r="M84"/>
    </row>
    <row r="85" spans="2:13" ht="15">
      <c r="B85"/>
      <c r="C85"/>
      <c r="D85"/>
      <c r="E85"/>
      <c r="F85"/>
      <c r="G85"/>
      <c r="H85"/>
      <c r="I85"/>
      <c r="J85"/>
      <c r="K85"/>
      <c r="L85"/>
      <c r="M85"/>
    </row>
    <row r="86" spans="2:13" ht="15">
      <c r="B86"/>
      <c r="C86"/>
      <c r="D86"/>
      <c r="E86"/>
      <c r="F86"/>
      <c r="G86"/>
      <c r="H86"/>
      <c r="I86"/>
      <c r="J86"/>
      <c r="K86"/>
      <c r="L86"/>
      <c r="M86"/>
    </row>
    <row r="87" spans="2:13" ht="15">
      <c r="B87"/>
      <c r="C87"/>
      <c r="D87"/>
      <c r="E87"/>
      <c r="F87"/>
      <c r="G87"/>
      <c r="H87"/>
      <c r="I87"/>
      <c r="J87"/>
      <c r="K87"/>
      <c r="L87"/>
      <c r="M87"/>
    </row>
    <row r="88" spans="2:13" ht="15">
      <c r="B88"/>
      <c r="C88"/>
      <c r="D88"/>
      <c r="E88"/>
      <c r="F88"/>
      <c r="G88"/>
      <c r="H88"/>
      <c r="I88"/>
      <c r="J88"/>
      <c r="K88"/>
      <c r="L88"/>
      <c r="M88"/>
    </row>
    <row r="89" spans="2:13" ht="15">
      <c r="B89"/>
      <c r="C89"/>
      <c r="D89"/>
      <c r="E89"/>
      <c r="F89"/>
      <c r="G89"/>
      <c r="H89"/>
      <c r="I89"/>
      <c r="J89"/>
      <c r="K89"/>
      <c r="L89"/>
      <c r="M89"/>
    </row>
    <row r="90" spans="2:13" ht="15">
      <c r="B90"/>
      <c r="C90"/>
      <c r="D90"/>
      <c r="E90"/>
      <c r="F90"/>
      <c r="G90"/>
      <c r="H90"/>
      <c r="I90"/>
      <c r="J90"/>
      <c r="K90"/>
      <c r="L90"/>
      <c r="M90"/>
    </row>
    <row r="91" spans="2:13" ht="15">
      <c r="B91"/>
      <c r="C91"/>
      <c r="D91"/>
      <c r="E91"/>
      <c r="F91"/>
      <c r="G91"/>
      <c r="H91"/>
      <c r="I91"/>
      <c r="J91"/>
      <c r="K91"/>
      <c r="L91"/>
      <c r="M91"/>
    </row>
    <row r="92" spans="2:13" ht="15">
      <c r="B92"/>
      <c r="C92"/>
      <c r="D92"/>
      <c r="E92"/>
      <c r="F92"/>
      <c r="G92"/>
      <c r="H92"/>
      <c r="I92"/>
      <c r="J92"/>
      <c r="K92"/>
      <c r="L92"/>
      <c r="M92"/>
    </row>
    <row r="93" spans="2:13" ht="15">
      <c r="B93"/>
      <c r="C93"/>
      <c r="D93"/>
      <c r="E93"/>
      <c r="F93"/>
      <c r="G93"/>
      <c r="H93"/>
      <c r="I93"/>
      <c r="J93"/>
      <c r="K93"/>
      <c r="L93"/>
      <c r="M93"/>
    </row>
    <row r="94" spans="2:13" ht="15">
      <c r="B94"/>
      <c r="C94"/>
      <c r="D94"/>
      <c r="E94"/>
      <c r="F94"/>
      <c r="G94"/>
      <c r="H94"/>
      <c r="I94"/>
      <c r="J94"/>
      <c r="K94"/>
      <c r="L94"/>
      <c r="M94"/>
    </row>
    <row r="95" spans="2:13" ht="15">
      <c r="B95"/>
      <c r="C95"/>
      <c r="D95"/>
      <c r="E95"/>
      <c r="F95"/>
      <c r="G95"/>
      <c r="H95"/>
      <c r="I95"/>
      <c r="J95"/>
      <c r="K95"/>
      <c r="L95"/>
      <c r="M95"/>
    </row>
    <row r="96" spans="2:13" ht="15">
      <c r="B96"/>
      <c r="C96"/>
      <c r="D96"/>
      <c r="E96"/>
      <c r="F96"/>
      <c r="G96"/>
      <c r="H96"/>
      <c r="I96"/>
      <c r="J96"/>
      <c r="K96"/>
      <c r="L96"/>
      <c r="M96"/>
    </row>
    <row r="97" spans="2:13" ht="15">
      <c r="B97"/>
      <c r="C97"/>
      <c r="D97"/>
      <c r="E97"/>
      <c r="F97"/>
      <c r="G97"/>
      <c r="H97"/>
      <c r="I97"/>
      <c r="J97"/>
      <c r="K97"/>
      <c r="L97"/>
      <c r="M97"/>
    </row>
    <row r="98" spans="2:13" ht="15">
      <c r="B98"/>
      <c r="C98"/>
      <c r="D98"/>
      <c r="E98"/>
      <c r="F98"/>
      <c r="G98"/>
      <c r="H98"/>
      <c r="I98"/>
      <c r="J98"/>
      <c r="K98"/>
      <c r="L98"/>
      <c r="M98"/>
    </row>
    <row r="99" spans="2:13" ht="15">
      <c r="B99"/>
      <c r="C99"/>
      <c r="D99"/>
      <c r="E99"/>
      <c r="F99"/>
      <c r="G99"/>
      <c r="H99"/>
      <c r="I99"/>
      <c r="J99"/>
      <c r="K99"/>
      <c r="L99"/>
      <c r="M99"/>
    </row>
    <row r="100" spans="2:13" ht="15">
      <c r="B100"/>
      <c r="C100"/>
      <c r="D100"/>
      <c r="E100"/>
      <c r="F100"/>
      <c r="G100"/>
      <c r="H100"/>
      <c r="I100"/>
      <c r="J100"/>
      <c r="K100"/>
      <c r="L100"/>
      <c r="M100"/>
    </row>
    <row r="101" spans="2:13" ht="15">
      <c r="B101"/>
      <c r="C101"/>
      <c r="D101"/>
      <c r="E101"/>
      <c r="F101"/>
      <c r="G101"/>
      <c r="H101"/>
      <c r="I101"/>
      <c r="J101"/>
      <c r="K101"/>
      <c r="L101"/>
      <c r="M101"/>
    </row>
    <row r="102" spans="2:13" ht="15">
      <c r="B102"/>
      <c r="C102"/>
      <c r="D102"/>
      <c r="E102"/>
      <c r="F102"/>
      <c r="G102"/>
      <c r="H102"/>
      <c r="I102"/>
      <c r="J102"/>
      <c r="K102"/>
      <c r="L102"/>
      <c r="M102"/>
    </row>
    <row r="103" spans="2:13" ht="15">
      <c r="B103"/>
      <c r="C103"/>
      <c r="D103"/>
      <c r="E103"/>
      <c r="F103"/>
      <c r="G103"/>
      <c r="H103"/>
      <c r="I103"/>
      <c r="J103"/>
      <c r="K103"/>
      <c r="L103"/>
      <c r="M103"/>
    </row>
    <row r="104" spans="2:13" ht="15">
      <c r="B104"/>
      <c r="C104"/>
      <c r="D104"/>
      <c r="E104"/>
      <c r="F104"/>
      <c r="G104"/>
      <c r="H104"/>
      <c r="I104"/>
      <c r="J104"/>
      <c r="K104"/>
      <c r="L104"/>
      <c r="M104"/>
    </row>
    <row r="105" spans="2:13" ht="15">
      <c r="B105"/>
      <c r="C105"/>
      <c r="D105"/>
      <c r="E105"/>
      <c r="F105"/>
      <c r="G105"/>
      <c r="H105"/>
      <c r="I105"/>
      <c r="J105"/>
      <c r="K105"/>
      <c r="L105"/>
      <c r="M105"/>
    </row>
    <row r="106" spans="2:13" ht="15">
      <c r="B106"/>
      <c r="C106"/>
      <c r="D106"/>
      <c r="E106"/>
      <c r="F106"/>
      <c r="G106"/>
      <c r="H106"/>
      <c r="I106"/>
      <c r="J106"/>
      <c r="K106"/>
      <c r="L106"/>
      <c r="M106"/>
    </row>
    <row r="107" spans="2:13" ht="15">
      <c r="B107"/>
      <c r="C107"/>
      <c r="D107"/>
      <c r="E107"/>
      <c r="F107"/>
      <c r="G107"/>
      <c r="H107"/>
      <c r="I107"/>
      <c r="J107"/>
      <c r="K107"/>
      <c r="L107"/>
      <c r="M107"/>
    </row>
    <row r="108" spans="2:13" ht="15">
      <c r="B108"/>
      <c r="C108"/>
      <c r="D108"/>
      <c r="E108"/>
      <c r="F108"/>
      <c r="G108"/>
      <c r="H108"/>
      <c r="I108"/>
      <c r="J108"/>
      <c r="K108"/>
      <c r="L108"/>
      <c r="M108"/>
    </row>
    <row r="109" spans="2:13" ht="15">
      <c r="B109"/>
      <c r="C109"/>
      <c r="D109"/>
      <c r="E109"/>
      <c r="F109"/>
      <c r="G109"/>
      <c r="H109"/>
      <c r="I109"/>
      <c r="J109"/>
      <c r="K109"/>
      <c r="L109"/>
      <c r="M109"/>
    </row>
    <row r="110" spans="2:13" ht="15">
      <c r="B110"/>
      <c r="C110"/>
      <c r="D110"/>
      <c r="E110"/>
      <c r="F110"/>
      <c r="G110"/>
      <c r="H110"/>
      <c r="I110"/>
      <c r="J110"/>
      <c r="K110"/>
      <c r="L110"/>
      <c r="M110"/>
    </row>
    <row r="111" spans="2:13" ht="15">
      <c r="B111"/>
      <c r="C111"/>
      <c r="D111"/>
      <c r="E111"/>
      <c r="F111"/>
      <c r="G111"/>
      <c r="H111"/>
      <c r="I111"/>
      <c r="J111"/>
      <c r="K111"/>
      <c r="L111"/>
      <c r="M111"/>
    </row>
    <row r="112" spans="2:13" ht="15">
      <c r="B112"/>
      <c r="C112"/>
      <c r="D112"/>
      <c r="E112"/>
      <c r="F112"/>
      <c r="G112"/>
      <c r="H112"/>
      <c r="I112"/>
      <c r="J112"/>
      <c r="K112"/>
      <c r="L112"/>
      <c r="M112"/>
    </row>
    <row r="113" spans="2:8" ht="15">
      <c r="B113"/>
      <c r="C113"/>
      <c r="D113"/>
      <c r="E113"/>
      <c r="F113"/>
      <c r="G113"/>
      <c r="H113"/>
    </row>
    <row r="114" spans="2:8">
      <c r="C114" s="6"/>
      <c r="D114" s="6"/>
      <c r="E114" s="6"/>
      <c r="F114" s="6"/>
    </row>
    <row r="115" spans="2:8">
      <c r="C115" s="6"/>
      <c r="D115" s="6"/>
      <c r="E115" s="6"/>
      <c r="F115" s="6"/>
    </row>
    <row r="116" spans="2:8">
      <c r="C116" s="6"/>
      <c r="D116" s="6"/>
      <c r="E116" s="6"/>
      <c r="F116" s="6"/>
    </row>
    <row r="117" spans="2:8">
      <c r="C117" s="6"/>
      <c r="D117" s="6"/>
      <c r="E117" s="6"/>
      <c r="F117" s="6"/>
    </row>
    <row r="118" spans="2:8">
      <c r="C118" s="6"/>
      <c r="D118" s="6"/>
      <c r="E118" s="6"/>
      <c r="F118" s="6"/>
    </row>
    <row r="119" spans="2:8">
      <c r="C119" s="6"/>
      <c r="D119" s="6"/>
      <c r="E119" s="6"/>
      <c r="F119" s="6"/>
    </row>
    <row r="120" spans="2:8">
      <c r="C120" s="6"/>
      <c r="D120" s="6"/>
      <c r="E120" s="6"/>
      <c r="F120" s="6"/>
    </row>
    <row r="121" spans="2:8">
      <c r="C121" s="6"/>
      <c r="D121" s="6"/>
      <c r="E121" s="6"/>
      <c r="F121" s="6"/>
    </row>
    <row r="122" spans="2:8">
      <c r="C122" s="6"/>
      <c r="D122" s="6"/>
      <c r="E122" s="6"/>
      <c r="F122" s="6"/>
    </row>
    <row r="123" spans="2:8">
      <c r="C123" s="6"/>
      <c r="D123" s="6"/>
      <c r="E123" s="6"/>
      <c r="F123" s="6"/>
    </row>
    <row r="124" spans="2:8">
      <c r="C124" s="6"/>
      <c r="D124" s="6"/>
      <c r="E124" s="6"/>
      <c r="F124" s="6"/>
    </row>
    <row r="125" spans="2:8">
      <c r="C125" s="6"/>
      <c r="D125" s="6"/>
      <c r="E125" s="6"/>
      <c r="F125" s="6"/>
    </row>
    <row r="126" spans="2:8">
      <c r="C126" s="6"/>
      <c r="D126" s="6"/>
      <c r="E126" s="6"/>
      <c r="F126" s="6"/>
    </row>
    <row r="127" spans="2:8">
      <c r="C127" s="6"/>
      <c r="D127" s="6"/>
      <c r="E127" s="6"/>
      <c r="F127" s="6"/>
    </row>
    <row r="128" spans="2:8">
      <c r="C128" s="6"/>
      <c r="D128" s="6"/>
      <c r="E128" s="6"/>
      <c r="F128" s="6"/>
    </row>
    <row r="129" s="6" customFormat="1"/>
    <row r="130" s="6" customFormat="1"/>
    <row r="131" s="6" customFormat="1"/>
    <row r="132" s="6" customFormat="1"/>
    <row r="133" s="6" customFormat="1"/>
    <row r="134" s="6" customFormat="1"/>
    <row r="135" s="6" customFormat="1"/>
    <row r="136" s="6" customFormat="1"/>
    <row r="137" s="6" customFormat="1"/>
    <row r="138" s="6" customFormat="1"/>
    <row r="139" s="6" customFormat="1"/>
    <row r="140" s="6" customFormat="1"/>
    <row r="141" s="6" customFormat="1"/>
    <row r="142" s="6" customFormat="1"/>
    <row r="143" s="6" customFormat="1"/>
    <row r="144" s="6" customFormat="1"/>
    <row r="145" s="6" customFormat="1"/>
    <row r="146" s="6" customFormat="1"/>
    <row r="147" s="6" customFormat="1"/>
    <row r="148" s="6" customFormat="1"/>
    <row r="149" s="6" customFormat="1"/>
    <row r="150" s="6" customFormat="1"/>
    <row r="151" s="6" customFormat="1"/>
    <row r="152" s="6" customFormat="1"/>
    <row r="153" s="6" customFormat="1"/>
    <row r="154" s="6" customFormat="1"/>
    <row r="155" s="6" customFormat="1"/>
    <row r="156" s="6" customFormat="1"/>
    <row r="157" s="6" customFormat="1"/>
    <row r="158" s="6" customFormat="1"/>
    <row r="159" s="6" customFormat="1"/>
    <row r="160" s="6" customFormat="1"/>
    <row r="161" s="6" customFormat="1"/>
    <row r="162" s="6" customFormat="1"/>
    <row r="163" s="6" customFormat="1"/>
    <row r="164" s="6" customFormat="1"/>
    <row r="165" s="6" customFormat="1"/>
    <row r="166" s="6" customFormat="1"/>
    <row r="167" s="6" customFormat="1"/>
    <row r="168" s="6" customFormat="1"/>
    <row r="169" s="6" customFormat="1"/>
    <row r="170" s="6" customFormat="1"/>
    <row r="171" s="6" customFormat="1"/>
    <row r="172" s="6" customFormat="1"/>
    <row r="173" s="6" customFormat="1"/>
    <row r="174" s="6" customFormat="1"/>
    <row r="175" s="6" customFormat="1"/>
    <row r="176" s="6" customFormat="1"/>
    <row r="177" s="6" customFormat="1"/>
    <row r="178" s="6" customFormat="1"/>
    <row r="179" s="6" customFormat="1"/>
    <row r="180" s="6" customFormat="1"/>
    <row r="181" s="6" customFormat="1"/>
    <row r="182" s="6" customFormat="1"/>
    <row r="183" s="6" customFormat="1"/>
    <row r="184" s="6" customFormat="1"/>
    <row r="185" s="6" customFormat="1"/>
    <row r="186" s="6" customFormat="1"/>
    <row r="187" s="6" customFormat="1"/>
    <row r="188" s="6" customFormat="1"/>
    <row r="189" s="6" customFormat="1"/>
    <row r="190" s="6" customFormat="1"/>
    <row r="191" s="6" customFormat="1"/>
    <row r="192" s="6" customFormat="1"/>
    <row r="193" s="6" customFormat="1"/>
    <row r="194" s="6" customFormat="1"/>
    <row r="195" s="6" customFormat="1"/>
    <row r="196" s="6" customFormat="1"/>
    <row r="197" s="6" customFormat="1"/>
    <row r="198" s="6" customFormat="1"/>
    <row r="199" s="6" customFormat="1"/>
    <row r="200" s="6" customFormat="1"/>
    <row r="201" s="6" customFormat="1"/>
    <row r="202" s="6" customFormat="1"/>
    <row r="203" s="6" customFormat="1"/>
    <row r="204" s="6" customFormat="1"/>
    <row r="205" s="6" customFormat="1"/>
    <row r="206" s="6" customFormat="1"/>
    <row r="207" s="6" customFormat="1"/>
    <row r="208" s="6" customFormat="1"/>
    <row r="209" s="6" customFormat="1"/>
    <row r="210" s="6" customFormat="1"/>
    <row r="211" s="6" customFormat="1"/>
    <row r="212" s="6" customFormat="1"/>
    <row r="213" s="6" customFormat="1"/>
    <row r="214" s="6" customFormat="1"/>
    <row r="215" s="6" customFormat="1"/>
    <row r="216" s="6" customFormat="1"/>
    <row r="217" s="6" customFormat="1"/>
    <row r="218" s="6" customFormat="1"/>
    <row r="219" s="6" customFormat="1"/>
    <row r="220" s="6" customFormat="1"/>
    <row r="221" s="6" customFormat="1"/>
    <row r="222" s="6" customFormat="1"/>
    <row r="223" s="6" customFormat="1"/>
    <row r="224" s="6" customFormat="1"/>
    <row r="225" s="6" customFormat="1"/>
    <row r="226" s="6" customFormat="1"/>
    <row r="227" s="6" customFormat="1"/>
    <row r="228" s="6" customFormat="1"/>
    <row r="229" s="6" customFormat="1"/>
    <row r="230" s="6" customFormat="1"/>
    <row r="231" s="6" customFormat="1"/>
    <row r="232" s="6" customFormat="1"/>
    <row r="233" s="6" customFormat="1"/>
    <row r="234" s="6" customFormat="1"/>
    <row r="235" s="6" customFormat="1"/>
    <row r="236" s="6" customFormat="1"/>
    <row r="237" s="6" customFormat="1"/>
    <row r="238" s="6" customFormat="1"/>
    <row r="239" s="6" customFormat="1"/>
    <row r="240" s="6" customFormat="1"/>
    <row r="241" s="6" customFormat="1"/>
    <row r="242" s="6" customFormat="1"/>
    <row r="243" s="6" customFormat="1"/>
    <row r="244" s="6" customFormat="1"/>
    <row r="245" s="6" customFormat="1"/>
    <row r="246" s="6" customFormat="1"/>
    <row r="247" s="6" customFormat="1"/>
    <row r="248" s="6" customFormat="1"/>
    <row r="249" s="6" customFormat="1"/>
    <row r="250" s="6" customFormat="1"/>
    <row r="251" s="6" customFormat="1"/>
    <row r="252" s="6" customFormat="1"/>
    <row r="253" s="6" customFormat="1"/>
    <row r="254" s="6" customFormat="1"/>
    <row r="255" s="6" customFormat="1"/>
    <row r="256" s="6" customFormat="1"/>
    <row r="257" s="6" customFormat="1"/>
    <row r="258" s="6" customFormat="1"/>
    <row r="259" s="6" customFormat="1"/>
    <row r="260" s="6" customFormat="1"/>
    <row r="261" s="6" customFormat="1"/>
    <row r="262" s="6" customFormat="1"/>
    <row r="263" s="6" customFormat="1"/>
    <row r="264" s="6" customFormat="1"/>
    <row r="265" s="6" customFormat="1"/>
    <row r="266" s="6" customFormat="1"/>
    <row r="267" s="6" customFormat="1"/>
    <row r="268" s="6" customFormat="1"/>
    <row r="269" s="6" customFormat="1"/>
    <row r="270" s="6" customFormat="1"/>
    <row r="271" s="6" customFormat="1"/>
    <row r="272" s="6" customFormat="1"/>
    <row r="273" s="6" customFormat="1"/>
    <row r="274" s="6" customFormat="1"/>
    <row r="275" s="6" customFormat="1"/>
    <row r="276" s="6" customFormat="1"/>
    <row r="277" s="6" customFormat="1"/>
    <row r="278" s="6" customFormat="1"/>
    <row r="279" s="6" customFormat="1"/>
    <row r="280" s="6" customFormat="1"/>
    <row r="281" s="6" customFormat="1"/>
    <row r="282" s="6" customFormat="1"/>
    <row r="283" s="6" customFormat="1"/>
    <row r="284" s="6" customFormat="1"/>
    <row r="285" s="6" customFormat="1"/>
    <row r="286" s="6" customFormat="1"/>
    <row r="287" s="6" customFormat="1"/>
    <row r="288" s="6" customFormat="1"/>
    <row r="289" s="6" customFormat="1"/>
    <row r="290" s="6" customFormat="1"/>
    <row r="291" s="6" customFormat="1"/>
    <row r="292" s="6" customFormat="1"/>
    <row r="293" s="6" customFormat="1"/>
    <row r="294" s="6" customFormat="1"/>
    <row r="295" s="6" customFormat="1"/>
    <row r="296" s="6" customFormat="1"/>
    <row r="297" s="6" customFormat="1"/>
    <row r="298" s="6" customFormat="1"/>
    <row r="299" s="6" customFormat="1"/>
    <row r="300" s="6" customFormat="1"/>
    <row r="301" s="6" customFormat="1"/>
    <row r="302" s="6" customFormat="1"/>
    <row r="303" s="6" customFormat="1"/>
    <row r="304" s="6" customFormat="1"/>
    <row r="305" s="6" customFormat="1"/>
    <row r="306" s="6" customFormat="1"/>
    <row r="307" s="6" customFormat="1"/>
    <row r="308" s="6" customFormat="1"/>
    <row r="309" s="6" customFormat="1"/>
    <row r="310" s="6" customFormat="1"/>
    <row r="311" s="6" customFormat="1"/>
    <row r="312" s="6" customFormat="1"/>
    <row r="313" s="6" customFormat="1"/>
    <row r="314" s="6" customFormat="1"/>
    <row r="315" s="6" customFormat="1"/>
    <row r="316" s="6" customFormat="1"/>
    <row r="317" s="6" customFormat="1"/>
    <row r="318" s="6" customFormat="1"/>
    <row r="319" s="6" customFormat="1"/>
    <row r="320" s="6" customFormat="1"/>
    <row r="321" s="6" customFormat="1"/>
    <row r="322" s="6" customFormat="1"/>
    <row r="323" s="6" customFormat="1"/>
    <row r="324" s="6" customFormat="1"/>
    <row r="325" s="6" customFormat="1"/>
    <row r="326" s="6" customFormat="1"/>
    <row r="327" s="6" customFormat="1"/>
    <row r="328" s="6" customFormat="1"/>
    <row r="329" s="6" customFormat="1"/>
    <row r="330" s="6" customFormat="1"/>
    <row r="331" s="6" customFormat="1"/>
    <row r="332" s="6" customFormat="1"/>
    <row r="333" s="6" customFormat="1"/>
    <row r="334" s="6" customFormat="1"/>
    <row r="335" s="6" customFormat="1"/>
    <row r="336" s="6" customFormat="1"/>
    <row r="337" s="6" customFormat="1"/>
    <row r="338" s="6" customFormat="1"/>
    <row r="339" s="6" customFormat="1"/>
    <row r="340" s="6" customFormat="1"/>
    <row r="341" s="6" customFormat="1"/>
    <row r="342" s="6" customFormat="1"/>
    <row r="343" s="6" customFormat="1"/>
    <row r="344" s="6" customFormat="1"/>
    <row r="345" s="6" customFormat="1"/>
    <row r="346" s="6" customFormat="1"/>
    <row r="347" s="6" customFormat="1"/>
    <row r="348" s="6" customFormat="1"/>
    <row r="349" s="6" customFormat="1"/>
    <row r="350" s="6" customFormat="1"/>
    <row r="351" s="6" customFormat="1"/>
    <row r="352" s="6" customFormat="1"/>
    <row r="353" s="6" customFormat="1"/>
    <row r="354" s="6" customFormat="1"/>
    <row r="355" s="6" customFormat="1"/>
    <row r="356" s="6" customFormat="1"/>
    <row r="357" s="6" customFormat="1"/>
    <row r="358" s="6" customFormat="1"/>
    <row r="359" s="6" customFormat="1"/>
    <row r="360" s="6" customFormat="1"/>
    <row r="361" s="6" customFormat="1"/>
    <row r="362" s="6" customFormat="1"/>
    <row r="363" s="6" customFormat="1"/>
    <row r="364" s="6" customFormat="1"/>
    <row r="365" s="6" customFormat="1"/>
    <row r="366" s="6" customFormat="1"/>
    <row r="367" s="6" customFormat="1"/>
    <row r="368" s="6" customFormat="1"/>
    <row r="369" s="6" customFormat="1"/>
    <row r="370" s="6" customFormat="1"/>
    <row r="371" s="6" customFormat="1"/>
    <row r="372" s="6" customFormat="1"/>
    <row r="373" s="6" customFormat="1"/>
    <row r="374" s="6" customFormat="1"/>
    <row r="375" s="6" customFormat="1"/>
    <row r="376" s="6" customFormat="1"/>
    <row r="377" s="6" customFormat="1"/>
    <row r="378" s="6" customFormat="1"/>
    <row r="379" s="6" customFormat="1"/>
    <row r="380" s="6" customFormat="1"/>
    <row r="381" s="6" customFormat="1"/>
    <row r="382" s="6" customFormat="1"/>
    <row r="383" s="6" customFormat="1"/>
    <row r="384" s="6" customFormat="1"/>
    <row r="385" s="6" customFormat="1"/>
    <row r="386" s="6" customFormat="1"/>
    <row r="387" s="6" customFormat="1"/>
    <row r="388" s="6" customFormat="1"/>
    <row r="389" s="6" customFormat="1"/>
    <row r="390" s="6" customFormat="1"/>
    <row r="391" s="6" customFormat="1"/>
    <row r="392" s="6" customFormat="1"/>
    <row r="393" s="6" customFormat="1"/>
    <row r="394" s="6" customFormat="1"/>
    <row r="395" s="6" customFormat="1"/>
  </sheetData>
  <mergeCells count="1">
    <mergeCell ref="A1:H1"/>
  </mergeCell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5"/>
  <sheetViews>
    <sheetView showGridLines="0" zoomScale="80" zoomScaleNormal="80" workbookViewId="0">
      <selection sqref="A1:H1"/>
    </sheetView>
  </sheetViews>
  <sheetFormatPr baseColWidth="10" defaultColWidth="10.85546875" defaultRowHeight="12.75"/>
  <cols>
    <col min="1" max="1" width="6.5703125" style="6" customWidth="1"/>
    <col min="2" max="2" width="18.5703125" style="6" customWidth="1"/>
    <col min="3" max="3" width="23.85546875" style="7" customWidth="1"/>
    <col min="4" max="4" width="21.5703125" style="11" customWidth="1"/>
    <col min="5" max="5" width="23.5703125" style="11" customWidth="1"/>
    <col min="6" max="6" width="50.5703125" style="11" customWidth="1"/>
    <col min="7" max="7" width="15.5703125" style="6" customWidth="1"/>
    <col min="8" max="8" width="12.5703125" style="6" customWidth="1"/>
    <col min="9" max="9" width="14.42578125" style="6" bestFit="1" customWidth="1"/>
    <col min="10" max="16384" width="10.85546875" style="6"/>
  </cols>
  <sheetData>
    <row r="1" spans="1:13" ht="26.25">
      <c r="A1" s="51" t="s">
        <v>87</v>
      </c>
      <c r="B1" s="51"/>
      <c r="C1" s="51"/>
      <c r="D1" s="51"/>
      <c r="E1" s="51"/>
      <c r="F1" s="51"/>
      <c r="G1" s="51"/>
      <c r="H1" s="51"/>
      <c r="I1" s="33"/>
    </row>
    <row r="3" spans="1:13">
      <c r="B3" s="9" t="s">
        <v>7</v>
      </c>
      <c r="C3" s="10" t="s">
        <v>92</v>
      </c>
    </row>
    <row r="5" spans="1:13" ht="15">
      <c r="B5" s="38" t="s">
        <v>69</v>
      </c>
      <c r="C5" s="39"/>
      <c r="D5" s="39"/>
      <c r="E5" s="39"/>
      <c r="F5" s="39"/>
      <c r="G5" s="10"/>
      <c r="H5"/>
      <c r="I5"/>
      <c r="J5"/>
      <c r="K5"/>
      <c r="L5"/>
      <c r="M5"/>
    </row>
    <row r="6" spans="1:13" s="12" customFormat="1" ht="15">
      <c r="B6" s="13" t="s">
        <v>12</v>
      </c>
      <c r="C6" s="13" t="s">
        <v>13</v>
      </c>
      <c r="D6" s="14" t="s">
        <v>14</v>
      </c>
      <c r="E6" s="13" t="s">
        <v>15</v>
      </c>
      <c r="F6" s="13" t="s">
        <v>27</v>
      </c>
      <c r="G6" s="10" t="s">
        <v>62</v>
      </c>
      <c r="H6"/>
      <c r="I6"/>
      <c r="J6"/>
      <c r="K6"/>
      <c r="L6"/>
      <c r="M6"/>
    </row>
    <row r="7" spans="1:13" ht="15">
      <c r="B7" s="10" t="s">
        <v>92</v>
      </c>
      <c r="C7" s="10" t="s">
        <v>92</v>
      </c>
      <c r="D7" s="15" t="s">
        <v>92</v>
      </c>
      <c r="E7" s="10" t="s">
        <v>92</v>
      </c>
      <c r="F7" s="10" t="s">
        <v>92</v>
      </c>
      <c r="G7" s="16"/>
      <c r="H7"/>
      <c r="I7"/>
      <c r="J7"/>
      <c r="K7"/>
      <c r="L7"/>
      <c r="M7"/>
    </row>
    <row r="8" spans="1:13" ht="15">
      <c r="B8" s="10" t="s">
        <v>90</v>
      </c>
      <c r="C8" s="10"/>
      <c r="D8" s="10"/>
      <c r="E8" s="10"/>
      <c r="F8" s="10"/>
      <c r="G8" s="16"/>
      <c r="H8"/>
      <c r="I8"/>
      <c r="J8"/>
      <c r="K8"/>
      <c r="L8"/>
      <c r="M8"/>
    </row>
    <row r="9" spans="1:13" ht="15">
      <c r="B9"/>
      <c r="C9"/>
      <c r="D9"/>
      <c r="E9"/>
      <c r="F9"/>
      <c r="G9"/>
      <c r="H9"/>
      <c r="I9"/>
      <c r="J9"/>
      <c r="K9"/>
      <c r="L9"/>
      <c r="M9"/>
    </row>
    <row r="10" spans="1:13" ht="15">
      <c r="B10"/>
      <c r="C10"/>
      <c r="D10"/>
      <c r="E10"/>
      <c r="F10"/>
      <c r="G10"/>
      <c r="H10" s="16"/>
      <c r="I10"/>
      <c r="J10"/>
      <c r="K10"/>
      <c r="L10"/>
      <c r="M10"/>
    </row>
    <row r="11" spans="1:13" ht="15">
      <c r="B11"/>
      <c r="C11"/>
      <c r="D11"/>
      <c r="E11"/>
      <c r="F11"/>
      <c r="G11"/>
      <c r="H11"/>
      <c r="I11"/>
      <c r="J11"/>
      <c r="K11"/>
      <c r="L11"/>
      <c r="M11"/>
    </row>
    <row r="12" spans="1:13" ht="15">
      <c r="B12"/>
      <c r="C12"/>
      <c r="D12"/>
      <c r="E12"/>
      <c r="F12"/>
      <c r="G12"/>
      <c r="H12"/>
      <c r="I12"/>
      <c r="J12"/>
      <c r="K12"/>
      <c r="L12"/>
      <c r="M12"/>
    </row>
    <row r="13" spans="1:13" ht="15">
      <c r="B13"/>
      <c r="C13"/>
      <c r="D13"/>
      <c r="E13"/>
      <c r="F13"/>
      <c r="G13"/>
      <c r="H13"/>
      <c r="I13"/>
      <c r="J13"/>
      <c r="K13"/>
      <c r="L13"/>
      <c r="M13"/>
    </row>
    <row r="14" spans="1:13" ht="15">
      <c r="B14"/>
      <c r="C14"/>
      <c r="D14"/>
      <c r="E14"/>
      <c r="F14"/>
      <c r="G14"/>
      <c r="H14"/>
      <c r="I14"/>
      <c r="J14"/>
      <c r="K14"/>
      <c r="L14"/>
      <c r="M14"/>
    </row>
    <row r="15" spans="1:13" ht="15">
      <c r="B15"/>
      <c r="C15"/>
      <c r="D15"/>
      <c r="E15"/>
      <c r="F15"/>
      <c r="G15"/>
      <c r="H15"/>
      <c r="I15"/>
      <c r="J15"/>
      <c r="K15"/>
      <c r="L15"/>
      <c r="M15"/>
    </row>
    <row r="16" spans="1:13" ht="15">
      <c r="B16"/>
      <c r="C16"/>
      <c r="D16"/>
      <c r="E16"/>
      <c r="F16"/>
      <c r="G16"/>
      <c r="H16"/>
      <c r="I16"/>
      <c r="J16"/>
      <c r="K16"/>
      <c r="L16"/>
      <c r="M16"/>
    </row>
    <row r="17" spans="2:13" ht="15">
      <c r="B17"/>
      <c r="C17"/>
      <c r="D17"/>
      <c r="E17"/>
      <c r="F17"/>
      <c r="G17"/>
      <c r="H17"/>
      <c r="I17"/>
      <c r="J17"/>
      <c r="K17"/>
      <c r="L17"/>
      <c r="M17"/>
    </row>
    <row r="18" spans="2:13" ht="15">
      <c r="B18"/>
      <c r="C18"/>
      <c r="D18"/>
      <c r="E18"/>
      <c r="F18"/>
      <c r="G18"/>
      <c r="H18"/>
      <c r="I18"/>
      <c r="J18"/>
      <c r="K18"/>
      <c r="L18"/>
      <c r="M18"/>
    </row>
    <row r="19" spans="2:13">
      <c r="C19" s="6"/>
      <c r="D19" s="6"/>
      <c r="E19" s="6"/>
      <c r="F19" s="6"/>
    </row>
    <row r="20" spans="2:13">
      <c r="C20" s="6"/>
      <c r="D20" s="6"/>
      <c r="E20" s="6"/>
      <c r="F20" s="6"/>
    </row>
    <row r="21" spans="2:13">
      <c r="C21" s="6"/>
      <c r="D21" s="6"/>
      <c r="E21" s="6"/>
      <c r="F21" s="6"/>
    </row>
    <row r="22" spans="2:13">
      <c r="C22" s="6"/>
      <c r="D22" s="6"/>
      <c r="E22" s="6"/>
      <c r="F22" s="6"/>
    </row>
    <row r="23" spans="2:13">
      <c r="C23" s="6"/>
      <c r="D23" s="6"/>
      <c r="E23" s="6"/>
      <c r="F23" s="6"/>
    </row>
    <row r="24" spans="2:13">
      <c r="C24" s="6"/>
      <c r="D24" s="6"/>
      <c r="E24" s="6"/>
      <c r="F24" s="6"/>
    </row>
    <row r="25" spans="2:13">
      <c r="C25" s="6"/>
      <c r="D25" s="6"/>
      <c r="E25" s="6"/>
      <c r="F25" s="6"/>
    </row>
    <row r="26" spans="2:13">
      <c r="C26" s="6"/>
      <c r="D26" s="6"/>
      <c r="E26" s="6"/>
      <c r="F26" s="6"/>
    </row>
    <row r="27" spans="2:13">
      <c r="C27" s="6"/>
      <c r="D27" s="6"/>
      <c r="E27" s="6"/>
      <c r="F27" s="6"/>
    </row>
    <row r="28" spans="2:13">
      <c r="C28" s="6"/>
      <c r="D28" s="6"/>
      <c r="E28" s="6"/>
      <c r="F28" s="6"/>
    </row>
    <row r="29" spans="2:13">
      <c r="C29" s="6"/>
      <c r="D29" s="6"/>
      <c r="E29" s="6"/>
      <c r="F29" s="6"/>
    </row>
    <row r="30" spans="2:13">
      <c r="C30" s="6"/>
      <c r="D30" s="6"/>
      <c r="E30" s="6"/>
      <c r="F30" s="6"/>
    </row>
    <row r="31" spans="2:13">
      <c r="C31" s="6"/>
      <c r="D31" s="6"/>
      <c r="E31" s="6"/>
      <c r="F31" s="6"/>
    </row>
    <row r="32" spans="2:13">
      <c r="C32" s="6"/>
      <c r="D32" s="6"/>
      <c r="E32" s="6"/>
      <c r="F32" s="6"/>
    </row>
    <row r="33" s="6" customFormat="1"/>
    <row r="34" s="6" customFormat="1"/>
    <row r="35" s="6" customFormat="1"/>
    <row r="36" s="6" customFormat="1"/>
    <row r="37" s="6" customFormat="1"/>
    <row r="38" s="6" customFormat="1"/>
    <row r="39" s="6" customFormat="1"/>
    <row r="40" s="6" customFormat="1"/>
    <row r="41" s="6" customFormat="1"/>
    <row r="42" s="6" customFormat="1"/>
    <row r="43" s="6" customFormat="1"/>
    <row r="44" s="6" customFormat="1"/>
    <row r="45" s="6" customFormat="1"/>
    <row r="46" s="6" customFormat="1"/>
    <row r="47" s="6" customFormat="1"/>
    <row r="48" s="6" customFormat="1"/>
    <row r="49" s="6" customFormat="1"/>
    <row r="50" s="6" customFormat="1"/>
    <row r="51" s="6" customFormat="1"/>
    <row r="52" s="6" customFormat="1"/>
    <row r="53" s="6" customFormat="1"/>
    <row r="54" s="6" customFormat="1"/>
    <row r="55" s="6" customFormat="1"/>
    <row r="56" s="6" customFormat="1"/>
    <row r="57" s="6" customFormat="1"/>
    <row r="58" s="6" customFormat="1"/>
    <row r="59" s="6" customFormat="1"/>
    <row r="60" s="6" customFormat="1"/>
    <row r="61" s="6" customFormat="1"/>
    <row r="62" s="6" customFormat="1"/>
    <row r="63" s="6" customFormat="1"/>
    <row r="64" s="6" customFormat="1"/>
    <row r="65" s="6" customFormat="1"/>
    <row r="66" s="6" customFormat="1"/>
    <row r="67" s="6" customFormat="1"/>
    <row r="68" s="6" customFormat="1"/>
    <row r="69" s="6" customFormat="1"/>
    <row r="70" s="6" customFormat="1"/>
    <row r="71" s="6" customFormat="1"/>
    <row r="72" s="6" customFormat="1"/>
    <row r="73" s="6" customFormat="1"/>
    <row r="74" s="6" customFormat="1"/>
    <row r="75" s="6" customFormat="1"/>
    <row r="76" s="6" customFormat="1"/>
    <row r="77" s="6" customFormat="1"/>
    <row r="78" s="6" customFormat="1"/>
    <row r="79" s="6" customFormat="1"/>
    <row r="80" s="6" customFormat="1"/>
    <row r="81" s="6" customFormat="1"/>
    <row r="82" s="6" customFormat="1"/>
    <row r="83" s="6" customFormat="1"/>
    <row r="84" s="6" customFormat="1"/>
    <row r="85" s="6" customFormat="1"/>
    <row r="86" s="6" customFormat="1"/>
    <row r="87" s="6" customFormat="1"/>
    <row r="88" s="6" customFormat="1"/>
    <row r="89" s="6" customFormat="1"/>
    <row r="90" s="6" customFormat="1"/>
    <row r="91" s="6" customFormat="1"/>
    <row r="92" s="6" customFormat="1"/>
    <row r="93" s="6" customFormat="1"/>
    <row r="94" s="6" customFormat="1"/>
    <row r="95" s="6" customFormat="1"/>
    <row r="96" s="6" customFormat="1"/>
    <row r="97" s="6" customFormat="1"/>
    <row r="98" s="6" customFormat="1"/>
    <row r="99" s="6" customFormat="1"/>
    <row r="100" s="6" customFormat="1"/>
    <row r="101" s="6" customFormat="1"/>
    <row r="102" s="6" customFormat="1"/>
    <row r="103" s="6" customFormat="1"/>
    <row r="104" s="6" customFormat="1"/>
    <row r="105" s="6" customFormat="1"/>
    <row r="106" s="6" customFormat="1"/>
    <row r="107" s="6" customFormat="1"/>
    <row r="108" s="6" customFormat="1"/>
    <row r="109" s="6" customFormat="1"/>
    <row r="110" s="6" customFormat="1"/>
    <row r="111" s="6" customFormat="1"/>
    <row r="112" s="6" customFormat="1"/>
    <row r="113" s="6" customFormat="1"/>
    <row r="114" s="6" customFormat="1"/>
    <row r="115" s="6" customFormat="1"/>
    <row r="116" s="6" customFormat="1"/>
    <row r="117" s="6" customFormat="1"/>
    <row r="118" s="6" customFormat="1"/>
    <row r="119" s="6" customFormat="1"/>
    <row r="120" s="6" customFormat="1"/>
    <row r="121" s="6" customFormat="1"/>
    <row r="122" s="6" customFormat="1"/>
    <row r="123" s="6" customFormat="1"/>
    <row r="124" s="6" customFormat="1"/>
    <row r="125" s="6" customFormat="1"/>
    <row r="126" s="6" customFormat="1"/>
    <row r="127" s="6" customFormat="1"/>
    <row r="128" s="6" customFormat="1"/>
    <row r="129" s="6" customFormat="1"/>
    <row r="130" s="6" customFormat="1"/>
    <row r="131" s="6" customFormat="1"/>
    <row r="132" s="6" customFormat="1"/>
    <row r="133" s="6" customFormat="1"/>
    <row r="134" s="6" customFormat="1"/>
    <row r="135" s="6" customFormat="1"/>
    <row r="136" s="6" customFormat="1"/>
    <row r="137" s="6" customFormat="1"/>
    <row r="138" s="6" customFormat="1"/>
    <row r="139" s="6" customFormat="1"/>
    <row r="140" s="6" customFormat="1"/>
    <row r="141" s="6" customFormat="1"/>
    <row r="142" s="6" customFormat="1"/>
    <row r="143" s="6" customFormat="1"/>
    <row r="144" s="6" customFormat="1"/>
    <row r="145" s="6" customFormat="1"/>
    <row r="146" s="6" customFormat="1"/>
    <row r="147" s="6" customFormat="1"/>
    <row r="148" s="6" customFormat="1"/>
    <row r="149" s="6" customFormat="1"/>
    <row r="150" s="6" customFormat="1"/>
    <row r="151" s="6" customFormat="1"/>
    <row r="152" s="6" customFormat="1"/>
    <row r="153" s="6" customFormat="1"/>
    <row r="154" s="6" customFormat="1"/>
    <row r="155" s="6" customFormat="1"/>
    <row r="156" s="6" customFormat="1"/>
    <row r="157" s="6" customFormat="1"/>
    <row r="158" s="6" customFormat="1"/>
    <row r="159" s="6" customFormat="1"/>
    <row r="160" s="6" customFormat="1"/>
    <row r="161" s="6" customFormat="1"/>
    <row r="162" s="6" customFormat="1"/>
    <row r="163" s="6" customFormat="1"/>
    <row r="164" s="6" customFormat="1"/>
    <row r="165" s="6" customFormat="1"/>
    <row r="166" s="6" customFormat="1"/>
    <row r="167" s="6" customFormat="1"/>
    <row r="168" s="6" customFormat="1"/>
    <row r="169" s="6" customFormat="1"/>
    <row r="170" s="6" customFormat="1"/>
    <row r="171" s="6" customFormat="1"/>
    <row r="172" s="6" customFormat="1"/>
    <row r="173" s="6" customFormat="1"/>
    <row r="174" s="6" customFormat="1"/>
    <row r="175" s="6" customFormat="1"/>
    <row r="176" s="6" customFormat="1"/>
    <row r="177" s="6" customFormat="1"/>
    <row r="178" s="6" customFormat="1"/>
    <row r="179" s="6" customFormat="1"/>
    <row r="180" s="6" customFormat="1"/>
    <row r="181" s="6" customFormat="1"/>
    <row r="182" s="6" customFormat="1"/>
    <row r="183" s="6" customFormat="1"/>
    <row r="184" s="6" customFormat="1"/>
    <row r="185" s="6" customFormat="1"/>
    <row r="186" s="6" customFormat="1"/>
    <row r="187" s="6" customFormat="1"/>
    <row r="188" s="6" customFormat="1"/>
    <row r="189" s="6" customFormat="1"/>
    <row r="190" s="6" customFormat="1"/>
    <row r="191" s="6" customFormat="1"/>
    <row r="192" s="6" customFormat="1"/>
    <row r="193" s="6" customFormat="1"/>
    <row r="194" s="6" customFormat="1"/>
    <row r="195" s="6" customFormat="1"/>
    <row r="196" s="6" customFormat="1"/>
    <row r="197" s="6" customFormat="1"/>
    <row r="198" s="6" customFormat="1"/>
    <row r="199" s="6" customFormat="1"/>
    <row r="200" s="6" customFormat="1"/>
    <row r="201" s="6" customFormat="1"/>
    <row r="202" s="6" customFormat="1"/>
    <row r="203" s="6" customFormat="1"/>
    <row r="204" s="6" customFormat="1"/>
    <row r="205" s="6" customFormat="1"/>
    <row r="206" s="6" customFormat="1"/>
    <row r="207" s="6" customFormat="1"/>
    <row r="208" s="6" customFormat="1"/>
    <row r="209" s="6" customFormat="1"/>
    <row r="210" s="6" customFormat="1"/>
    <row r="211" s="6" customFormat="1"/>
    <row r="212" s="6" customFormat="1"/>
    <row r="213" s="6" customFormat="1"/>
    <row r="214" s="6" customFormat="1"/>
    <row r="215" s="6" customFormat="1"/>
    <row r="216" s="6" customFormat="1"/>
    <row r="217" s="6" customFormat="1"/>
    <row r="218" s="6" customFormat="1"/>
    <row r="219" s="6" customFormat="1"/>
    <row r="220" s="6" customFormat="1"/>
    <row r="221" s="6" customFormat="1"/>
    <row r="222" s="6" customFormat="1"/>
    <row r="223" s="6" customFormat="1"/>
    <row r="224" s="6" customFormat="1"/>
    <row r="225" s="6" customFormat="1"/>
    <row r="226" s="6" customFormat="1"/>
    <row r="227" s="6" customFormat="1"/>
    <row r="228" s="6" customFormat="1"/>
    <row r="229" s="6" customFormat="1"/>
    <row r="230" s="6" customFormat="1"/>
    <row r="231" s="6" customFormat="1"/>
    <row r="232" s="6" customFormat="1"/>
    <row r="233" s="6" customFormat="1"/>
    <row r="234" s="6" customFormat="1"/>
    <row r="235" s="6" customFormat="1"/>
    <row r="236" s="6" customFormat="1"/>
    <row r="237" s="6" customFormat="1"/>
    <row r="238" s="6" customFormat="1"/>
    <row r="239" s="6" customFormat="1"/>
    <row r="240" s="6" customFormat="1"/>
    <row r="241" s="6" customFormat="1"/>
    <row r="242" s="6" customFormat="1"/>
    <row r="243" s="6" customFormat="1"/>
    <row r="244" s="6" customFormat="1"/>
    <row r="245" s="6" customFormat="1"/>
    <row r="246" s="6" customFormat="1"/>
    <row r="247" s="6" customFormat="1"/>
    <row r="248" s="6" customFormat="1"/>
    <row r="249" s="6" customFormat="1"/>
    <row r="250" s="6" customFormat="1"/>
    <row r="251" s="6" customFormat="1"/>
    <row r="252" s="6" customFormat="1"/>
    <row r="253" s="6" customFormat="1"/>
    <row r="254" s="6" customFormat="1"/>
    <row r="255" s="6" customFormat="1"/>
    <row r="256" s="6" customFormat="1"/>
    <row r="257" s="6" customFormat="1"/>
    <row r="258" s="6" customFormat="1"/>
    <row r="259" s="6" customFormat="1"/>
    <row r="260" s="6" customFormat="1"/>
    <row r="261" s="6" customFormat="1"/>
    <row r="262" s="6" customFormat="1"/>
    <row r="263" s="6" customFormat="1"/>
    <row r="264" s="6" customFormat="1"/>
    <row r="265" s="6" customFormat="1"/>
    <row r="266" s="6" customFormat="1"/>
    <row r="267" s="6" customFormat="1"/>
    <row r="268" s="6" customFormat="1"/>
    <row r="269" s="6" customFormat="1"/>
    <row r="270" s="6" customFormat="1"/>
    <row r="271" s="6" customFormat="1"/>
    <row r="272" s="6" customFormat="1"/>
    <row r="273" s="6" customFormat="1"/>
    <row r="274" s="6" customFormat="1"/>
    <row r="275" s="6" customFormat="1"/>
    <row r="276" s="6" customFormat="1"/>
    <row r="277" s="6" customFormat="1"/>
    <row r="278" s="6" customFormat="1"/>
    <row r="279" s="6" customFormat="1"/>
    <row r="280" s="6" customFormat="1"/>
    <row r="281" s="6" customFormat="1"/>
    <row r="282" s="6" customFormat="1"/>
    <row r="283" s="6" customFormat="1"/>
    <row r="284" s="6" customFormat="1"/>
    <row r="285" s="6" customFormat="1"/>
    <row r="286" s="6" customFormat="1"/>
    <row r="287" s="6" customFormat="1"/>
    <row r="288" s="6" customFormat="1"/>
    <row r="289" s="6" customFormat="1"/>
    <row r="290" s="6" customFormat="1"/>
    <row r="291" s="6" customFormat="1"/>
    <row r="292" s="6" customFormat="1"/>
    <row r="293" s="6" customFormat="1"/>
    <row r="294" s="6" customFormat="1"/>
    <row r="295" s="6" customFormat="1"/>
    <row r="296" s="6" customFormat="1"/>
    <row r="297" s="6" customFormat="1"/>
    <row r="298" s="6" customFormat="1"/>
    <row r="299" s="6" customFormat="1"/>
    <row r="300" s="6" customFormat="1"/>
    <row r="301" s="6" customFormat="1"/>
    <row r="302" s="6" customFormat="1"/>
    <row r="303" s="6" customFormat="1"/>
    <row r="304" s="6" customFormat="1"/>
    <row r="305" s="6" customFormat="1"/>
    <row r="306" s="6" customFormat="1"/>
    <row r="307" s="6" customFormat="1"/>
    <row r="308" s="6" customFormat="1"/>
    <row r="309" s="6" customFormat="1"/>
    <row r="310" s="6" customFormat="1"/>
    <row r="311" s="6" customFormat="1"/>
    <row r="312" s="6" customFormat="1"/>
    <row r="313" s="6" customFormat="1"/>
    <row r="314" s="6" customFormat="1"/>
    <row r="315" s="6" customFormat="1"/>
    <row r="316" s="6" customFormat="1"/>
    <row r="317" s="6" customFormat="1"/>
    <row r="318" s="6" customFormat="1"/>
    <row r="319" s="6" customFormat="1"/>
    <row r="320" s="6" customFormat="1"/>
    <row r="321" s="6" customFormat="1"/>
    <row r="322" s="6" customFormat="1"/>
    <row r="323" s="6" customFormat="1"/>
    <row r="324" s="6" customFormat="1"/>
    <row r="325" s="6" customFormat="1"/>
    <row r="326" s="6" customFormat="1"/>
    <row r="327" s="6" customFormat="1"/>
    <row r="328" s="6" customFormat="1"/>
    <row r="329" s="6" customFormat="1"/>
    <row r="330" s="6" customFormat="1"/>
    <row r="331" s="6" customFormat="1"/>
    <row r="332" s="6" customFormat="1"/>
    <row r="333" s="6" customFormat="1"/>
    <row r="334" s="6" customFormat="1"/>
    <row r="335" s="6" customFormat="1"/>
    <row r="336" s="6" customFormat="1"/>
    <row r="337" s="6" customFormat="1"/>
    <row r="338" s="6" customFormat="1"/>
    <row r="339" s="6" customFormat="1"/>
    <row r="340" s="6" customFormat="1"/>
    <row r="341" s="6" customFormat="1"/>
    <row r="342" s="6" customFormat="1"/>
    <row r="343" s="6" customFormat="1"/>
    <row r="344" s="6" customFormat="1"/>
    <row r="345" s="6" customFormat="1"/>
    <row r="346" s="6" customFormat="1"/>
    <row r="347" s="6" customFormat="1"/>
    <row r="348" s="6" customFormat="1"/>
    <row r="349" s="6" customFormat="1"/>
    <row r="350" s="6" customFormat="1"/>
    <row r="351" s="6" customFormat="1"/>
    <row r="352" s="6" customFormat="1"/>
    <row r="353" s="6" customFormat="1"/>
    <row r="354" s="6" customFormat="1"/>
    <row r="355" s="6" customFormat="1"/>
    <row r="356" s="6" customFormat="1"/>
    <row r="357" s="6" customFormat="1"/>
    <row r="358" s="6" customFormat="1"/>
    <row r="359" s="6" customFormat="1"/>
    <row r="360" s="6" customFormat="1"/>
    <row r="361" s="6" customFormat="1"/>
    <row r="362" s="6" customFormat="1"/>
    <row r="363" s="6" customFormat="1"/>
    <row r="364" s="6" customFormat="1"/>
    <row r="365" s="6" customFormat="1"/>
    <row r="366" s="6" customFormat="1"/>
    <row r="367" s="6" customFormat="1"/>
    <row r="368" s="6" customFormat="1"/>
    <row r="369" s="6" customFormat="1"/>
    <row r="370" s="6" customFormat="1"/>
    <row r="371" s="6" customFormat="1"/>
    <row r="372" s="6" customFormat="1"/>
    <row r="373" s="6" customFormat="1"/>
    <row r="374" s="6" customFormat="1"/>
    <row r="375" s="6" customFormat="1"/>
    <row r="376" s="6" customFormat="1"/>
    <row r="377" s="6" customFormat="1"/>
    <row r="378" s="6" customFormat="1"/>
    <row r="379" s="6" customFormat="1"/>
    <row r="380" s="6" customFormat="1"/>
    <row r="381" s="6" customFormat="1"/>
    <row r="382" s="6" customFormat="1"/>
    <row r="383" s="6" customFormat="1"/>
    <row r="384" s="6" customFormat="1"/>
    <row r="385" s="6" customFormat="1"/>
    <row r="386" s="6" customFormat="1"/>
    <row r="387" s="6" customFormat="1"/>
    <row r="388" s="6" customFormat="1"/>
    <row r="389" s="6" customFormat="1"/>
    <row r="390" s="6" customFormat="1"/>
    <row r="391" s="6" customFormat="1"/>
    <row r="392" s="6" customFormat="1"/>
    <row r="393" s="6" customFormat="1"/>
    <row r="394" s="6" customFormat="1"/>
    <row r="395" s="6" customFormat="1"/>
  </sheetData>
  <mergeCells count="1">
    <mergeCell ref="A1:H1"/>
  </mergeCell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5"/>
  <sheetViews>
    <sheetView showGridLines="0" zoomScale="80" zoomScaleNormal="80" workbookViewId="0">
      <selection sqref="A1:H1"/>
    </sheetView>
  </sheetViews>
  <sheetFormatPr baseColWidth="10" defaultColWidth="10.85546875" defaultRowHeight="12.75"/>
  <cols>
    <col min="1" max="1" width="6.5703125" style="6" customWidth="1"/>
    <col min="2" max="2" width="18.5703125" style="6" customWidth="1"/>
    <col min="3" max="3" width="21.5703125" style="7" customWidth="1"/>
    <col min="4" max="4" width="21.5703125" style="11" customWidth="1"/>
    <col min="5" max="5" width="23.5703125" style="11" customWidth="1"/>
    <col min="6" max="6" width="50.5703125" style="11" customWidth="1"/>
    <col min="7" max="7" width="15.5703125" style="6" customWidth="1"/>
    <col min="8" max="8" width="12.5703125" style="6" customWidth="1"/>
    <col min="9" max="16384" width="10.85546875" style="6"/>
  </cols>
  <sheetData>
    <row r="1" spans="1:13" ht="26.25">
      <c r="A1" s="51" t="s">
        <v>66</v>
      </c>
      <c r="B1" s="51"/>
      <c r="C1" s="51"/>
      <c r="D1" s="51"/>
      <c r="E1" s="51"/>
      <c r="F1" s="51"/>
      <c r="G1" s="51"/>
      <c r="H1" s="51"/>
    </row>
    <row r="3" spans="1:13">
      <c r="B3" s="9" t="s">
        <v>7</v>
      </c>
      <c r="C3" s="10" t="s">
        <v>91</v>
      </c>
    </row>
    <row r="5" spans="1:13" ht="15">
      <c r="B5" s="38" t="s">
        <v>69</v>
      </c>
      <c r="C5" s="39"/>
      <c r="D5" s="39"/>
      <c r="E5" s="39"/>
      <c r="F5" s="39"/>
      <c r="G5" s="10"/>
      <c r="H5"/>
      <c r="I5"/>
      <c r="J5"/>
      <c r="K5"/>
      <c r="L5"/>
      <c r="M5"/>
    </row>
    <row r="6" spans="1:13" s="12" customFormat="1" ht="15">
      <c r="B6" s="13" t="s">
        <v>12</v>
      </c>
      <c r="C6" s="13" t="s">
        <v>13</v>
      </c>
      <c r="D6" s="14" t="s">
        <v>14</v>
      </c>
      <c r="E6" s="13" t="s">
        <v>15</v>
      </c>
      <c r="F6" s="13" t="s">
        <v>27</v>
      </c>
      <c r="G6" s="10" t="s">
        <v>62</v>
      </c>
      <c r="H6"/>
      <c r="I6"/>
      <c r="J6"/>
      <c r="K6"/>
      <c r="L6"/>
      <c r="M6"/>
    </row>
    <row r="7" spans="1:13" ht="15">
      <c r="B7" s="10" t="s">
        <v>90</v>
      </c>
      <c r="C7" s="10"/>
      <c r="D7" s="10"/>
      <c r="E7" s="10"/>
      <c r="F7" s="10"/>
      <c r="G7" s="16"/>
      <c r="H7"/>
      <c r="I7"/>
      <c r="J7"/>
      <c r="K7"/>
      <c r="L7"/>
      <c r="M7"/>
    </row>
    <row r="8" spans="1:13" ht="15">
      <c r="B8"/>
      <c r="C8"/>
      <c r="D8"/>
      <c r="E8"/>
      <c r="F8"/>
      <c r="G8"/>
      <c r="H8"/>
      <c r="I8"/>
      <c r="J8"/>
      <c r="K8"/>
      <c r="L8"/>
      <c r="M8"/>
    </row>
    <row r="9" spans="1:13" ht="15">
      <c r="B9"/>
      <c r="C9"/>
      <c r="D9"/>
      <c r="E9"/>
      <c r="F9"/>
      <c r="G9"/>
      <c r="H9"/>
      <c r="I9"/>
      <c r="J9"/>
      <c r="K9"/>
      <c r="L9"/>
      <c r="M9"/>
    </row>
    <row r="10" spans="1:13" ht="15">
      <c r="B10"/>
      <c r="C10"/>
      <c r="D10"/>
      <c r="E10"/>
      <c r="F10"/>
      <c r="G10"/>
      <c r="H10"/>
      <c r="I10"/>
      <c r="J10"/>
      <c r="K10"/>
      <c r="L10"/>
      <c r="M10"/>
    </row>
    <row r="11" spans="1:13">
      <c r="C11" s="6"/>
      <c r="D11" s="6"/>
      <c r="E11" s="6"/>
      <c r="F11" s="6"/>
    </row>
    <row r="12" spans="1:13">
      <c r="C12" s="6"/>
      <c r="D12" s="6"/>
      <c r="E12" s="6"/>
      <c r="F12" s="6"/>
    </row>
    <row r="13" spans="1:13">
      <c r="C13" s="6"/>
      <c r="D13" s="6"/>
      <c r="E13" s="6"/>
      <c r="F13" s="6"/>
    </row>
    <row r="14" spans="1:13">
      <c r="C14" s="6"/>
      <c r="D14" s="6"/>
      <c r="E14" s="6"/>
      <c r="F14" s="6"/>
    </row>
    <row r="15" spans="1:13">
      <c r="C15" s="6"/>
      <c r="D15" s="6"/>
      <c r="E15" s="6"/>
      <c r="F15" s="6"/>
    </row>
    <row r="16" spans="1:13">
      <c r="C16" s="6"/>
      <c r="D16" s="6"/>
      <c r="E16" s="6"/>
      <c r="F16" s="6"/>
    </row>
    <row r="17" s="6" customFormat="1"/>
    <row r="18" s="6" customFormat="1"/>
    <row r="19" s="6" customFormat="1"/>
    <row r="20" s="6" customFormat="1"/>
    <row r="21" s="6" customFormat="1"/>
    <row r="22" s="6" customFormat="1"/>
    <row r="23" s="6" customFormat="1"/>
    <row r="24" s="6" customFormat="1"/>
    <row r="25" s="6" customFormat="1"/>
    <row r="26" s="6" customFormat="1"/>
    <row r="27" s="6" customFormat="1"/>
    <row r="28" s="6" customFormat="1"/>
    <row r="29" s="6" customFormat="1"/>
    <row r="30" s="6" customFormat="1"/>
    <row r="31" s="6" customFormat="1"/>
    <row r="32" s="6" customFormat="1"/>
    <row r="33" s="6" customFormat="1"/>
    <row r="34" s="6" customFormat="1"/>
    <row r="35" s="6" customFormat="1"/>
    <row r="36" s="6" customFormat="1"/>
    <row r="37" s="6" customFormat="1"/>
    <row r="38" s="6" customFormat="1"/>
    <row r="39" s="6" customFormat="1"/>
    <row r="40" s="6" customFormat="1"/>
    <row r="41" s="6" customFormat="1"/>
    <row r="42" s="6" customFormat="1"/>
    <row r="43" s="6" customFormat="1"/>
    <row r="44" s="6" customFormat="1"/>
    <row r="45" s="6" customFormat="1"/>
    <row r="46" s="6" customFormat="1"/>
    <row r="47" s="6" customFormat="1"/>
    <row r="48" s="6" customFormat="1"/>
    <row r="49" s="6" customFormat="1"/>
    <row r="50" s="6" customFormat="1"/>
    <row r="51" s="6" customFormat="1"/>
    <row r="52" s="6" customFormat="1"/>
    <row r="53" s="6" customFormat="1"/>
    <row r="54" s="6" customFormat="1"/>
    <row r="55" s="6" customFormat="1"/>
    <row r="56" s="6" customFormat="1"/>
    <row r="57" s="6" customFormat="1"/>
    <row r="58" s="6" customFormat="1"/>
    <row r="59" s="6" customFormat="1"/>
    <row r="60" s="6" customFormat="1"/>
    <row r="61" s="6" customFormat="1"/>
    <row r="62" s="6" customFormat="1"/>
    <row r="63" s="6" customFormat="1"/>
    <row r="64" s="6" customFormat="1"/>
    <row r="65" s="6" customFormat="1"/>
    <row r="66" s="6" customFormat="1"/>
    <row r="67" s="6" customFormat="1"/>
    <row r="68" s="6" customFormat="1"/>
    <row r="69" s="6" customFormat="1"/>
    <row r="70" s="6" customFormat="1"/>
    <row r="71" s="6" customFormat="1"/>
    <row r="72" s="6" customFormat="1"/>
    <row r="73" s="6" customFormat="1"/>
    <row r="74" s="6" customFormat="1"/>
    <row r="75" s="6" customFormat="1"/>
    <row r="76" s="6" customFormat="1"/>
    <row r="77" s="6" customFormat="1"/>
    <row r="78" s="6" customFormat="1"/>
    <row r="79" s="6" customFormat="1"/>
    <row r="80" s="6" customFormat="1"/>
    <row r="81" s="6" customFormat="1"/>
    <row r="82" s="6" customFormat="1"/>
    <row r="83" s="6" customFormat="1"/>
    <row r="84" s="6" customFormat="1"/>
    <row r="85" s="6" customFormat="1"/>
    <row r="86" s="6" customFormat="1"/>
    <row r="87" s="6" customFormat="1"/>
    <row r="88" s="6" customFormat="1"/>
    <row r="89" s="6" customFormat="1"/>
    <row r="90" s="6" customFormat="1"/>
    <row r="91" s="6" customFormat="1"/>
    <row r="92" s="6" customFormat="1"/>
    <row r="93" s="6" customFormat="1"/>
    <row r="94" s="6" customFormat="1"/>
    <row r="95" s="6" customFormat="1"/>
    <row r="96" s="6" customFormat="1"/>
    <row r="97" s="6" customFormat="1"/>
    <row r="98" s="6" customFormat="1"/>
    <row r="99" s="6" customFormat="1"/>
    <row r="100" s="6" customFormat="1"/>
    <row r="101" s="6" customFormat="1"/>
    <row r="102" s="6" customFormat="1"/>
    <row r="103" s="6" customFormat="1"/>
    <row r="104" s="6" customFormat="1"/>
    <row r="105" s="6" customFormat="1"/>
    <row r="106" s="6" customFormat="1"/>
    <row r="107" s="6" customFormat="1"/>
    <row r="108" s="6" customFormat="1"/>
    <row r="109" s="6" customFormat="1"/>
    <row r="110" s="6" customFormat="1"/>
    <row r="111" s="6" customFormat="1"/>
    <row r="112" s="6" customFormat="1"/>
    <row r="113" s="6" customFormat="1"/>
    <row r="114" s="6" customFormat="1"/>
    <row r="115" s="6" customFormat="1"/>
    <row r="116" s="6" customFormat="1"/>
    <row r="117" s="6" customFormat="1"/>
    <row r="118" s="6" customFormat="1"/>
    <row r="119" s="6" customFormat="1"/>
    <row r="120" s="6" customFormat="1"/>
    <row r="121" s="6" customFormat="1"/>
    <row r="122" s="6" customFormat="1"/>
    <row r="123" s="6" customFormat="1"/>
    <row r="124" s="6" customFormat="1"/>
    <row r="125" s="6" customFormat="1"/>
    <row r="126" s="6" customFormat="1"/>
    <row r="127" s="6" customFormat="1"/>
    <row r="128" s="6" customFormat="1"/>
    <row r="129" s="6" customFormat="1"/>
    <row r="130" s="6" customFormat="1"/>
    <row r="131" s="6" customFormat="1"/>
    <row r="132" s="6" customFormat="1"/>
    <row r="133" s="6" customFormat="1"/>
    <row r="134" s="6" customFormat="1"/>
    <row r="135" s="6" customFormat="1"/>
    <row r="136" s="6" customFormat="1"/>
    <row r="137" s="6" customFormat="1"/>
    <row r="138" s="6" customFormat="1"/>
    <row r="139" s="6" customFormat="1"/>
    <row r="140" s="6" customFormat="1"/>
    <row r="141" s="6" customFormat="1"/>
    <row r="142" s="6" customFormat="1"/>
    <row r="143" s="6" customFormat="1"/>
    <row r="144" s="6" customFormat="1"/>
    <row r="145" s="6" customFormat="1"/>
    <row r="146" s="6" customFormat="1"/>
    <row r="147" s="6" customFormat="1"/>
    <row r="148" s="6" customFormat="1"/>
    <row r="149" s="6" customFormat="1"/>
    <row r="150" s="6" customFormat="1"/>
    <row r="151" s="6" customFormat="1"/>
    <row r="152" s="6" customFormat="1"/>
    <row r="153" s="6" customFormat="1"/>
    <row r="154" s="6" customFormat="1"/>
    <row r="155" s="6" customFormat="1"/>
    <row r="156" s="6" customFormat="1"/>
    <row r="157" s="6" customFormat="1"/>
    <row r="158" s="6" customFormat="1"/>
    <row r="159" s="6" customFormat="1"/>
    <row r="160" s="6" customFormat="1"/>
    <row r="161" s="6" customFormat="1"/>
    <row r="162" s="6" customFormat="1"/>
    <row r="163" s="6" customFormat="1"/>
    <row r="164" s="6" customFormat="1"/>
    <row r="165" s="6" customFormat="1"/>
    <row r="166" s="6" customFormat="1"/>
    <row r="167" s="6" customFormat="1"/>
    <row r="168" s="6" customFormat="1"/>
    <row r="169" s="6" customFormat="1"/>
    <row r="170" s="6" customFormat="1"/>
    <row r="171" s="6" customFormat="1"/>
    <row r="172" s="6" customFormat="1"/>
    <row r="173" s="6" customFormat="1"/>
    <row r="174" s="6" customFormat="1"/>
    <row r="175" s="6" customFormat="1"/>
    <row r="176" s="6" customFormat="1"/>
    <row r="177" s="6" customFormat="1"/>
    <row r="178" s="6" customFormat="1"/>
    <row r="179" s="6" customFormat="1"/>
    <row r="180" s="6" customFormat="1"/>
    <row r="181" s="6" customFormat="1"/>
    <row r="182" s="6" customFormat="1"/>
    <row r="183" s="6" customFormat="1"/>
    <row r="184" s="6" customFormat="1"/>
    <row r="185" s="6" customFormat="1"/>
    <row r="186" s="6" customFormat="1"/>
    <row r="187" s="6" customFormat="1"/>
    <row r="188" s="6" customFormat="1"/>
    <row r="189" s="6" customFormat="1"/>
    <row r="190" s="6" customFormat="1"/>
    <row r="191" s="6" customFormat="1"/>
    <row r="192" s="6" customFormat="1"/>
    <row r="193" s="6" customFormat="1"/>
    <row r="194" s="6" customFormat="1"/>
    <row r="195" s="6" customFormat="1"/>
    <row r="196" s="6" customFormat="1"/>
    <row r="197" s="6" customFormat="1"/>
    <row r="198" s="6" customFormat="1"/>
    <row r="199" s="6" customFormat="1"/>
    <row r="200" s="6" customFormat="1"/>
    <row r="201" s="6" customFormat="1"/>
    <row r="202" s="6" customFormat="1"/>
    <row r="203" s="6" customFormat="1"/>
    <row r="204" s="6" customFormat="1"/>
    <row r="205" s="6" customFormat="1"/>
    <row r="206" s="6" customFormat="1"/>
    <row r="207" s="6" customFormat="1"/>
    <row r="208" s="6" customFormat="1"/>
    <row r="209" s="6" customFormat="1"/>
    <row r="210" s="6" customFormat="1"/>
    <row r="211" s="6" customFormat="1"/>
    <row r="212" s="6" customFormat="1"/>
    <row r="213" s="6" customFormat="1"/>
    <row r="214" s="6" customFormat="1"/>
    <row r="215" s="6" customFormat="1"/>
    <row r="216" s="6" customFormat="1"/>
    <row r="217" s="6" customFormat="1"/>
    <row r="218" s="6" customFormat="1"/>
    <row r="219" s="6" customFormat="1"/>
    <row r="220" s="6" customFormat="1"/>
    <row r="221" s="6" customFormat="1"/>
    <row r="222" s="6" customFormat="1"/>
    <row r="223" s="6" customFormat="1"/>
    <row r="224" s="6" customFormat="1"/>
    <row r="225" s="6" customFormat="1"/>
    <row r="226" s="6" customFormat="1"/>
    <row r="227" s="6" customFormat="1"/>
    <row r="228" s="6" customFormat="1"/>
    <row r="229" s="6" customFormat="1"/>
    <row r="230" s="6" customFormat="1"/>
    <row r="231" s="6" customFormat="1"/>
    <row r="232" s="6" customFormat="1"/>
    <row r="233" s="6" customFormat="1"/>
    <row r="234" s="6" customFormat="1"/>
    <row r="235" s="6" customFormat="1"/>
    <row r="236" s="6" customFormat="1"/>
    <row r="237" s="6" customFormat="1"/>
    <row r="238" s="6" customFormat="1"/>
    <row r="239" s="6" customFormat="1"/>
    <row r="240" s="6" customFormat="1"/>
    <row r="241" s="6" customFormat="1"/>
    <row r="242" s="6" customFormat="1"/>
    <row r="243" s="6" customFormat="1"/>
    <row r="244" s="6" customFormat="1"/>
    <row r="245" s="6" customFormat="1"/>
    <row r="246" s="6" customFormat="1"/>
    <row r="247" s="6" customFormat="1"/>
    <row r="248" s="6" customFormat="1"/>
    <row r="249" s="6" customFormat="1"/>
    <row r="250" s="6" customFormat="1"/>
    <row r="251" s="6" customFormat="1"/>
    <row r="252" s="6" customFormat="1"/>
    <row r="253" s="6" customFormat="1"/>
    <row r="254" s="6" customFormat="1"/>
    <row r="255" s="6" customFormat="1"/>
    <row r="256" s="6" customFormat="1"/>
    <row r="257" s="6" customFormat="1"/>
    <row r="258" s="6" customFormat="1"/>
    <row r="259" s="6" customFormat="1"/>
    <row r="260" s="6" customFormat="1"/>
    <row r="261" s="6" customFormat="1"/>
    <row r="262" s="6" customFormat="1"/>
    <row r="263" s="6" customFormat="1"/>
    <row r="264" s="6" customFormat="1"/>
    <row r="265" s="6" customFormat="1"/>
    <row r="266" s="6" customFormat="1"/>
    <row r="267" s="6" customFormat="1"/>
    <row r="268" s="6" customFormat="1"/>
    <row r="269" s="6" customFormat="1"/>
    <row r="270" s="6" customFormat="1"/>
    <row r="271" s="6" customFormat="1"/>
    <row r="272" s="6" customFormat="1"/>
    <row r="273" s="6" customFormat="1"/>
    <row r="274" s="6" customFormat="1"/>
    <row r="275" s="6" customFormat="1"/>
    <row r="276" s="6" customFormat="1"/>
    <row r="277" s="6" customFormat="1"/>
    <row r="278" s="6" customFormat="1"/>
    <row r="279" s="6" customFormat="1"/>
    <row r="280" s="6" customFormat="1"/>
    <row r="281" s="6" customFormat="1"/>
    <row r="282" s="6" customFormat="1"/>
    <row r="283" s="6" customFormat="1"/>
    <row r="284" s="6" customFormat="1"/>
    <row r="285" s="6" customFormat="1"/>
    <row r="286" s="6" customFormat="1"/>
    <row r="287" s="6" customFormat="1"/>
    <row r="288" s="6" customFormat="1"/>
    <row r="289" s="6" customFormat="1"/>
    <row r="290" s="6" customFormat="1"/>
    <row r="291" s="6" customFormat="1"/>
    <row r="292" s="6" customFormat="1"/>
    <row r="293" s="6" customFormat="1"/>
    <row r="294" s="6" customFormat="1"/>
    <row r="295" s="6" customFormat="1"/>
    <row r="296" s="6" customFormat="1"/>
    <row r="297" s="6" customFormat="1"/>
    <row r="298" s="6" customFormat="1"/>
    <row r="299" s="6" customFormat="1"/>
    <row r="300" s="6" customFormat="1"/>
    <row r="301" s="6" customFormat="1"/>
    <row r="302" s="6" customFormat="1"/>
    <row r="303" s="6" customFormat="1"/>
    <row r="304" s="6" customFormat="1"/>
    <row r="305" s="6" customFormat="1"/>
    <row r="306" s="6" customFormat="1"/>
    <row r="307" s="6" customFormat="1"/>
    <row r="308" s="6" customFormat="1"/>
    <row r="309" s="6" customFormat="1"/>
    <row r="310" s="6" customFormat="1"/>
    <row r="311" s="6" customFormat="1"/>
    <row r="312" s="6" customFormat="1"/>
    <row r="313" s="6" customFormat="1"/>
    <row r="314" s="6" customFormat="1"/>
    <row r="315" s="6" customFormat="1"/>
    <row r="316" s="6" customFormat="1"/>
    <row r="317" s="6" customFormat="1"/>
    <row r="318" s="6" customFormat="1"/>
    <row r="319" s="6" customFormat="1"/>
    <row r="320" s="6" customFormat="1"/>
    <row r="321" s="6" customFormat="1"/>
    <row r="322" s="6" customFormat="1"/>
    <row r="323" s="6" customFormat="1"/>
    <row r="324" s="6" customFormat="1"/>
    <row r="325" s="6" customFormat="1"/>
    <row r="326" s="6" customFormat="1"/>
    <row r="327" s="6" customFormat="1"/>
    <row r="328" s="6" customFormat="1"/>
    <row r="329" s="6" customFormat="1"/>
    <row r="330" s="6" customFormat="1"/>
    <row r="331" s="6" customFormat="1"/>
    <row r="332" s="6" customFormat="1"/>
    <row r="333" s="6" customFormat="1"/>
    <row r="334" s="6" customFormat="1"/>
    <row r="335" s="6" customFormat="1"/>
    <row r="336" s="6" customFormat="1"/>
    <row r="337" s="6" customFormat="1"/>
    <row r="338" s="6" customFormat="1"/>
    <row r="339" s="6" customFormat="1"/>
    <row r="340" s="6" customFormat="1"/>
    <row r="341" s="6" customFormat="1"/>
    <row r="342" s="6" customFormat="1"/>
    <row r="343" s="6" customFormat="1"/>
    <row r="344" s="6" customFormat="1"/>
    <row r="345" s="6" customFormat="1"/>
    <row r="346" s="6" customFormat="1"/>
    <row r="347" s="6" customFormat="1"/>
    <row r="348" s="6" customFormat="1"/>
    <row r="349" s="6" customFormat="1"/>
    <row r="350" s="6" customFormat="1"/>
    <row r="351" s="6" customFormat="1"/>
    <row r="352" s="6" customFormat="1"/>
    <row r="353" s="6" customFormat="1"/>
    <row r="354" s="6" customFormat="1"/>
    <row r="355" s="6" customFormat="1"/>
    <row r="356" s="6" customFormat="1"/>
    <row r="357" s="6" customFormat="1"/>
    <row r="358" s="6" customFormat="1"/>
    <row r="359" s="6" customFormat="1"/>
    <row r="360" s="6" customFormat="1"/>
    <row r="361" s="6" customFormat="1"/>
    <row r="362" s="6" customFormat="1"/>
    <row r="363" s="6" customFormat="1"/>
    <row r="364" s="6" customFormat="1"/>
    <row r="365" s="6" customFormat="1"/>
    <row r="366" s="6" customFormat="1"/>
    <row r="367" s="6" customFormat="1"/>
    <row r="368" s="6" customFormat="1"/>
    <row r="369" s="6" customFormat="1"/>
    <row r="370" s="6" customFormat="1"/>
    <row r="371" s="6" customFormat="1"/>
    <row r="372" s="6" customFormat="1"/>
    <row r="373" s="6" customFormat="1"/>
    <row r="374" s="6" customFormat="1"/>
    <row r="375" s="6" customFormat="1"/>
    <row r="376" s="6" customFormat="1"/>
    <row r="377" s="6" customFormat="1"/>
    <row r="378" s="6" customFormat="1"/>
    <row r="379" s="6" customFormat="1"/>
    <row r="380" s="6" customFormat="1"/>
    <row r="381" s="6" customFormat="1"/>
    <row r="382" s="6" customFormat="1"/>
    <row r="383" s="6" customFormat="1"/>
    <row r="384" s="6" customFormat="1"/>
    <row r="385" s="6" customFormat="1"/>
    <row r="386" s="6" customFormat="1"/>
    <row r="387" s="6" customFormat="1"/>
    <row r="388" s="6" customFormat="1"/>
    <row r="389" s="6" customFormat="1"/>
    <row r="390" s="6" customFormat="1"/>
    <row r="391" s="6" customFormat="1"/>
    <row r="392" s="6" customFormat="1"/>
    <row r="393" s="6" customFormat="1"/>
    <row r="394" s="6" customFormat="1"/>
    <row r="395" s="6" customFormat="1"/>
  </sheetData>
  <mergeCells count="1">
    <mergeCell ref="A1:H1"/>
  </mergeCells>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5"/>
  <sheetViews>
    <sheetView showGridLines="0" zoomScale="80" zoomScaleNormal="80" workbookViewId="0">
      <selection sqref="A1:H1"/>
    </sheetView>
  </sheetViews>
  <sheetFormatPr baseColWidth="10" defaultColWidth="10.85546875" defaultRowHeight="12.75"/>
  <cols>
    <col min="1" max="1" width="4" style="6" customWidth="1"/>
    <col min="2" max="2" width="36" style="6" bestFit="1" customWidth="1"/>
    <col min="3" max="3" width="21.5703125" style="7" customWidth="1"/>
    <col min="4" max="4" width="19.7109375" style="11" customWidth="1"/>
    <col min="5" max="5" width="23.5703125" style="11" customWidth="1"/>
    <col min="6" max="6" width="12.5703125" style="11" customWidth="1"/>
    <col min="7" max="7" width="54.42578125" style="6" customWidth="1"/>
    <col min="8" max="8" width="12.5703125" style="6" customWidth="1"/>
    <col min="9" max="9" width="14.42578125" style="6" bestFit="1" customWidth="1"/>
    <col min="10" max="16384" width="10.85546875" style="6"/>
  </cols>
  <sheetData>
    <row r="1" spans="1:13" ht="26.25">
      <c r="A1" s="51" t="s">
        <v>88</v>
      </c>
      <c r="B1" s="51"/>
      <c r="C1" s="51"/>
      <c r="D1" s="51"/>
      <c r="E1" s="51"/>
      <c r="F1" s="51"/>
      <c r="G1" s="51"/>
      <c r="H1" s="51"/>
      <c r="I1" s="33"/>
    </row>
    <row r="3" spans="1:13" ht="15">
      <c r="B3"/>
      <c r="C3"/>
    </row>
    <row r="5" spans="1:13" ht="15">
      <c r="B5" s="38" t="s">
        <v>69</v>
      </c>
      <c r="C5" s="39"/>
      <c r="D5" s="39"/>
      <c r="E5" s="39"/>
      <c r="F5" s="39"/>
      <c r="G5" s="39"/>
      <c r="H5" s="10"/>
      <c r="I5"/>
      <c r="J5"/>
      <c r="K5"/>
      <c r="L5"/>
      <c r="M5"/>
    </row>
    <row r="6" spans="1:13" s="7" customFormat="1" ht="15">
      <c r="B6" s="9" t="s">
        <v>89</v>
      </c>
      <c r="C6" s="13" t="s">
        <v>12</v>
      </c>
      <c r="D6" s="13" t="s">
        <v>13</v>
      </c>
      <c r="E6" s="14" t="s">
        <v>14</v>
      </c>
      <c r="F6" s="13" t="s">
        <v>15</v>
      </c>
      <c r="G6" s="13" t="s">
        <v>27</v>
      </c>
      <c r="H6" s="10" t="s">
        <v>62</v>
      </c>
      <c r="I6"/>
      <c r="J6"/>
      <c r="K6"/>
      <c r="L6"/>
      <c r="M6"/>
    </row>
    <row r="7" spans="1:13" ht="15">
      <c r="B7" s="10" t="s">
        <v>90</v>
      </c>
      <c r="C7" s="10"/>
      <c r="D7" s="10"/>
      <c r="E7" s="10"/>
      <c r="F7" s="10"/>
      <c r="G7" s="10"/>
      <c r="H7" s="16"/>
      <c r="I7"/>
      <c r="J7"/>
      <c r="K7"/>
      <c r="L7"/>
      <c r="M7"/>
    </row>
    <row r="8" spans="1:13" ht="15">
      <c r="B8"/>
      <c r="C8"/>
      <c r="D8"/>
      <c r="E8"/>
      <c r="F8"/>
      <c r="G8"/>
      <c r="H8"/>
      <c r="I8"/>
      <c r="J8"/>
      <c r="K8"/>
      <c r="L8"/>
      <c r="M8"/>
    </row>
    <row r="9" spans="1:13" ht="15">
      <c r="B9"/>
      <c r="C9"/>
      <c r="D9"/>
      <c r="E9"/>
      <c r="F9"/>
      <c r="G9"/>
      <c r="H9"/>
      <c r="I9"/>
      <c r="J9"/>
      <c r="K9"/>
      <c r="L9"/>
      <c r="M9"/>
    </row>
    <row r="10" spans="1:13" ht="15">
      <c r="B10"/>
      <c r="C10"/>
      <c r="D10"/>
      <c r="E10"/>
      <c r="F10"/>
      <c r="G10"/>
      <c r="H10"/>
      <c r="I10"/>
      <c r="J10"/>
      <c r="K10"/>
      <c r="L10"/>
      <c r="M10"/>
    </row>
    <row r="11" spans="1:13" ht="15">
      <c r="B11"/>
      <c r="C11"/>
      <c r="D11"/>
      <c r="E11"/>
      <c r="F11"/>
      <c r="G11"/>
      <c r="H11"/>
      <c r="I11"/>
      <c r="J11"/>
      <c r="K11"/>
      <c r="L11"/>
      <c r="M11"/>
    </row>
    <row r="12" spans="1:13" ht="15">
      <c r="B12"/>
      <c r="C12"/>
      <c r="D12"/>
      <c r="E12"/>
      <c r="F12"/>
      <c r="G12"/>
      <c r="H12"/>
      <c r="I12"/>
      <c r="J12"/>
      <c r="K12"/>
      <c r="L12"/>
      <c r="M12"/>
    </row>
    <row r="13" spans="1:13" ht="15">
      <c r="B13"/>
      <c r="C13"/>
      <c r="D13"/>
      <c r="E13"/>
      <c r="F13"/>
      <c r="G13"/>
      <c r="H13"/>
      <c r="I13"/>
      <c r="J13"/>
      <c r="K13"/>
      <c r="L13"/>
      <c r="M13"/>
    </row>
    <row r="14" spans="1:13" ht="15">
      <c r="B14"/>
      <c r="C14"/>
      <c r="D14"/>
      <c r="E14"/>
      <c r="F14"/>
      <c r="G14"/>
      <c r="H14"/>
      <c r="I14"/>
      <c r="J14"/>
      <c r="K14"/>
      <c r="L14"/>
      <c r="M14"/>
    </row>
    <row r="15" spans="1:13" ht="15">
      <c r="B15"/>
      <c r="C15"/>
      <c r="D15"/>
      <c r="E15"/>
      <c r="F15"/>
      <c r="G15"/>
      <c r="H15"/>
      <c r="I15"/>
      <c r="J15"/>
      <c r="K15"/>
      <c r="L15"/>
      <c r="M15"/>
    </row>
    <row r="16" spans="1:13" ht="15">
      <c r="B16"/>
      <c r="C16"/>
      <c r="D16"/>
      <c r="E16"/>
      <c r="F16"/>
      <c r="G16"/>
      <c r="H16"/>
      <c r="I16"/>
      <c r="J16"/>
      <c r="K16"/>
      <c r="L16"/>
      <c r="M16"/>
    </row>
    <row r="17" spans="2:13" ht="15">
      <c r="B17"/>
      <c r="C17"/>
      <c r="D17"/>
      <c r="E17"/>
      <c r="F17"/>
      <c r="G17"/>
      <c r="H17"/>
      <c r="I17"/>
      <c r="J17"/>
      <c r="K17"/>
      <c r="L17"/>
      <c r="M17"/>
    </row>
    <row r="18" spans="2:13" ht="15">
      <c r="B18"/>
      <c r="C18"/>
      <c r="D18"/>
      <c r="E18"/>
      <c r="F18"/>
      <c r="G18"/>
      <c r="H18"/>
      <c r="I18"/>
      <c r="J18"/>
      <c r="K18"/>
      <c r="L18"/>
      <c r="M18"/>
    </row>
    <row r="19" spans="2:13" ht="15">
      <c r="B19"/>
      <c r="C19"/>
      <c r="D19"/>
      <c r="E19"/>
      <c r="F19"/>
      <c r="G19"/>
      <c r="H19"/>
      <c r="I19"/>
      <c r="J19"/>
      <c r="K19"/>
      <c r="L19"/>
      <c r="M19"/>
    </row>
    <row r="20" spans="2:13" ht="15">
      <c r="B20"/>
      <c r="C20"/>
      <c r="D20"/>
      <c r="E20"/>
      <c r="F20"/>
      <c r="G20"/>
      <c r="H20"/>
      <c r="I20"/>
      <c r="J20"/>
      <c r="K20"/>
      <c r="L20"/>
      <c r="M20"/>
    </row>
    <row r="21" spans="2:13" ht="15">
      <c r="B21"/>
      <c r="C21"/>
      <c r="D21"/>
      <c r="E21"/>
      <c r="F21"/>
      <c r="G21"/>
      <c r="H21"/>
      <c r="I21"/>
      <c r="J21"/>
      <c r="K21"/>
      <c r="L21"/>
      <c r="M21"/>
    </row>
    <row r="22" spans="2:13" ht="15">
      <c r="B22"/>
      <c r="C22"/>
      <c r="D22"/>
      <c r="E22"/>
      <c r="F22"/>
      <c r="G22"/>
      <c r="H22"/>
      <c r="I22"/>
      <c r="J22"/>
      <c r="K22"/>
      <c r="L22"/>
      <c r="M22"/>
    </row>
    <row r="23" spans="2:13" ht="15">
      <c r="B23"/>
      <c r="C23"/>
      <c r="D23"/>
      <c r="E23"/>
      <c r="F23"/>
      <c r="G23"/>
      <c r="H23"/>
      <c r="I23"/>
      <c r="J23"/>
      <c r="K23"/>
      <c r="L23"/>
      <c r="M23"/>
    </row>
    <row r="24" spans="2:13" ht="15">
      <c r="B24"/>
      <c r="C24"/>
      <c r="D24"/>
      <c r="E24"/>
      <c r="F24"/>
      <c r="G24"/>
      <c r="H24"/>
      <c r="I24"/>
      <c r="J24"/>
      <c r="K24"/>
      <c r="L24"/>
      <c r="M24"/>
    </row>
    <row r="25" spans="2:13" ht="15">
      <c r="B25"/>
      <c r="C25"/>
      <c r="D25"/>
      <c r="E25"/>
      <c r="F25"/>
      <c r="G25"/>
      <c r="H25"/>
      <c r="I25"/>
      <c r="J25"/>
      <c r="K25"/>
      <c r="L25"/>
      <c r="M25"/>
    </row>
    <row r="26" spans="2:13" ht="15">
      <c r="B26"/>
      <c r="C26"/>
      <c r="D26"/>
      <c r="E26"/>
      <c r="F26"/>
      <c r="G26"/>
      <c r="H26"/>
      <c r="I26"/>
      <c r="J26"/>
      <c r="K26"/>
      <c r="L26"/>
      <c r="M26"/>
    </row>
    <row r="27" spans="2:13" ht="15">
      <c r="B27"/>
      <c r="C27"/>
      <c r="D27"/>
      <c r="E27"/>
      <c r="F27"/>
      <c r="G27"/>
      <c r="H27"/>
      <c r="I27"/>
      <c r="J27"/>
      <c r="K27"/>
      <c r="L27"/>
      <c r="M27"/>
    </row>
    <row r="28" spans="2:13" ht="15">
      <c r="B28"/>
      <c r="C28"/>
      <c r="D28"/>
      <c r="E28"/>
      <c r="F28"/>
      <c r="G28"/>
      <c r="H28"/>
      <c r="I28"/>
      <c r="J28"/>
      <c r="K28"/>
      <c r="L28"/>
      <c r="M28"/>
    </row>
    <row r="29" spans="2:13" ht="15">
      <c r="B29"/>
      <c r="C29"/>
      <c r="D29"/>
      <c r="E29"/>
      <c r="F29"/>
      <c r="G29"/>
      <c r="H29"/>
      <c r="I29"/>
      <c r="J29"/>
      <c r="K29"/>
      <c r="L29"/>
      <c r="M29"/>
    </row>
    <row r="30" spans="2:13" ht="15">
      <c r="B30"/>
      <c r="C30"/>
      <c r="D30"/>
      <c r="E30"/>
      <c r="F30"/>
      <c r="G30"/>
      <c r="H30"/>
      <c r="I30"/>
      <c r="J30"/>
      <c r="K30"/>
      <c r="L30"/>
      <c r="M30"/>
    </row>
    <row r="31" spans="2:13" ht="15">
      <c r="B31"/>
      <c r="C31"/>
      <c r="D31"/>
      <c r="E31"/>
      <c r="F31"/>
      <c r="G31"/>
      <c r="H31"/>
      <c r="I31"/>
      <c r="J31"/>
      <c r="K31"/>
      <c r="L31"/>
      <c r="M31"/>
    </row>
    <row r="32" spans="2:13" ht="15">
      <c r="B32"/>
      <c r="C32"/>
      <c r="D32"/>
      <c r="E32"/>
      <c r="F32"/>
      <c r="G32"/>
      <c r="H32"/>
      <c r="I32"/>
      <c r="J32"/>
      <c r="K32"/>
      <c r="L32"/>
      <c r="M32"/>
    </row>
    <row r="33" spans="2:13" ht="15">
      <c r="B33"/>
      <c r="C33"/>
      <c r="D33"/>
      <c r="E33"/>
      <c r="F33"/>
      <c r="G33"/>
      <c r="H33"/>
      <c r="I33"/>
      <c r="J33"/>
      <c r="K33"/>
      <c r="L33"/>
      <c r="M33"/>
    </row>
    <row r="34" spans="2:13" ht="15">
      <c r="B34"/>
      <c r="C34"/>
      <c r="D34"/>
      <c r="E34"/>
      <c r="F34"/>
      <c r="G34"/>
      <c r="H34"/>
      <c r="I34"/>
      <c r="J34"/>
      <c r="K34"/>
      <c r="L34"/>
      <c r="M34"/>
    </row>
    <row r="35" spans="2:13" ht="15">
      <c r="B35"/>
      <c r="C35"/>
      <c r="D35"/>
      <c r="E35"/>
      <c r="F35"/>
      <c r="G35"/>
      <c r="H35"/>
      <c r="I35"/>
      <c r="J35"/>
      <c r="K35"/>
      <c r="L35"/>
      <c r="M35"/>
    </row>
    <row r="36" spans="2:13" ht="15">
      <c r="B36"/>
      <c r="C36"/>
      <c r="D36"/>
      <c r="E36"/>
      <c r="F36"/>
      <c r="G36"/>
      <c r="H36"/>
      <c r="I36"/>
      <c r="J36"/>
      <c r="K36"/>
      <c r="L36"/>
      <c r="M36"/>
    </row>
    <row r="37" spans="2:13" ht="15">
      <c r="B37"/>
      <c r="C37"/>
      <c r="D37"/>
      <c r="E37"/>
      <c r="F37"/>
      <c r="G37"/>
      <c r="H37"/>
      <c r="I37"/>
      <c r="J37"/>
      <c r="K37"/>
      <c r="L37"/>
      <c r="M37"/>
    </row>
    <row r="38" spans="2:13" ht="15">
      <c r="B38"/>
      <c r="C38"/>
      <c r="D38"/>
      <c r="E38"/>
      <c r="F38"/>
      <c r="G38"/>
      <c r="H38"/>
      <c r="I38"/>
      <c r="J38"/>
      <c r="K38"/>
      <c r="L38"/>
      <c r="M38"/>
    </row>
    <row r="39" spans="2:13" ht="15">
      <c r="B39"/>
      <c r="C39"/>
      <c r="D39"/>
      <c r="E39"/>
      <c r="F39"/>
      <c r="G39"/>
      <c r="H39"/>
      <c r="I39"/>
      <c r="J39"/>
      <c r="K39"/>
      <c r="L39"/>
      <c r="M39"/>
    </row>
    <row r="40" spans="2:13" ht="15">
      <c r="B40"/>
      <c r="C40"/>
      <c r="D40"/>
      <c r="E40"/>
      <c r="F40"/>
      <c r="G40"/>
      <c r="H40"/>
      <c r="I40"/>
      <c r="J40"/>
      <c r="K40"/>
      <c r="L40"/>
      <c r="M40"/>
    </row>
    <row r="41" spans="2:13" ht="15">
      <c r="B41"/>
      <c r="C41"/>
      <c r="D41"/>
      <c r="E41"/>
      <c r="F41"/>
      <c r="G41"/>
      <c r="H41"/>
      <c r="I41"/>
      <c r="J41"/>
      <c r="K41"/>
      <c r="L41"/>
      <c r="M41"/>
    </row>
    <row r="42" spans="2:13" ht="15">
      <c r="B42"/>
      <c r="C42"/>
      <c r="D42"/>
      <c r="E42"/>
      <c r="F42"/>
      <c r="G42"/>
      <c r="H42"/>
      <c r="I42"/>
      <c r="J42"/>
      <c r="K42"/>
      <c r="L42"/>
      <c r="M42"/>
    </row>
    <row r="43" spans="2:13" ht="15">
      <c r="B43"/>
      <c r="C43"/>
      <c r="D43"/>
      <c r="E43"/>
      <c r="F43"/>
      <c r="G43"/>
      <c r="H43"/>
      <c r="I43"/>
      <c r="J43"/>
      <c r="K43"/>
      <c r="L43"/>
      <c r="M43"/>
    </row>
    <row r="44" spans="2:13" ht="15">
      <c r="B44"/>
      <c r="C44"/>
      <c r="D44"/>
      <c r="E44"/>
      <c r="F44"/>
      <c r="G44"/>
      <c r="H44"/>
      <c r="I44"/>
      <c r="J44"/>
      <c r="K44"/>
      <c r="L44"/>
      <c r="M44"/>
    </row>
    <row r="45" spans="2:13" ht="15">
      <c r="B45"/>
      <c r="C45"/>
      <c r="D45"/>
      <c r="E45"/>
      <c r="F45"/>
      <c r="G45"/>
      <c r="H45"/>
      <c r="I45"/>
      <c r="J45"/>
      <c r="K45"/>
      <c r="L45"/>
      <c r="M45"/>
    </row>
    <row r="46" spans="2:13" ht="15">
      <c r="B46"/>
      <c r="C46"/>
      <c r="D46"/>
      <c r="E46"/>
      <c r="F46"/>
      <c r="G46"/>
      <c r="H46"/>
      <c r="I46"/>
      <c r="J46"/>
      <c r="K46"/>
      <c r="L46"/>
      <c r="M46"/>
    </row>
    <row r="47" spans="2:13" ht="15">
      <c r="B47"/>
      <c r="C47"/>
      <c r="D47"/>
      <c r="E47"/>
      <c r="F47"/>
      <c r="G47"/>
      <c r="H47"/>
      <c r="I47"/>
      <c r="J47"/>
      <c r="K47"/>
      <c r="L47"/>
      <c r="M47"/>
    </row>
    <row r="48" spans="2:13" ht="15">
      <c r="B48"/>
      <c r="C48"/>
      <c r="D48"/>
      <c r="E48"/>
      <c r="F48"/>
      <c r="G48"/>
      <c r="H48"/>
      <c r="I48"/>
      <c r="J48"/>
      <c r="K48"/>
      <c r="L48"/>
      <c r="M48"/>
    </row>
    <row r="49" spans="2:13" ht="15">
      <c r="B49"/>
      <c r="C49"/>
      <c r="D49"/>
      <c r="E49"/>
      <c r="F49"/>
      <c r="G49"/>
      <c r="H49"/>
      <c r="I49"/>
      <c r="J49"/>
      <c r="K49"/>
      <c r="L49"/>
      <c r="M49"/>
    </row>
    <row r="50" spans="2:13" ht="15">
      <c r="B50"/>
      <c r="C50"/>
      <c r="D50"/>
      <c r="E50"/>
      <c r="F50"/>
      <c r="G50"/>
      <c r="H50"/>
      <c r="I50"/>
      <c r="J50"/>
      <c r="K50"/>
      <c r="L50"/>
      <c r="M50"/>
    </row>
    <row r="51" spans="2:13" ht="15">
      <c r="B51"/>
      <c r="C51"/>
      <c r="D51"/>
      <c r="E51"/>
      <c r="F51"/>
      <c r="G51"/>
      <c r="H51"/>
      <c r="I51"/>
      <c r="J51"/>
      <c r="K51"/>
      <c r="L51"/>
      <c r="M51"/>
    </row>
    <row r="52" spans="2:13" ht="15">
      <c r="B52"/>
      <c r="C52"/>
      <c r="D52"/>
      <c r="E52"/>
      <c r="F52"/>
      <c r="G52"/>
      <c r="H52"/>
      <c r="I52"/>
      <c r="J52"/>
      <c r="K52"/>
      <c r="L52"/>
      <c r="M52"/>
    </row>
    <row r="53" spans="2:13" ht="15">
      <c r="B53"/>
      <c r="C53"/>
      <c r="D53"/>
      <c r="E53"/>
      <c r="F53"/>
      <c r="G53"/>
      <c r="H53"/>
      <c r="I53"/>
      <c r="J53"/>
      <c r="K53"/>
      <c r="L53"/>
      <c r="M53"/>
    </row>
    <row r="54" spans="2:13" ht="15">
      <c r="B54"/>
      <c r="C54"/>
      <c r="D54"/>
      <c r="E54"/>
      <c r="F54"/>
      <c r="G54"/>
      <c r="H54"/>
      <c r="I54"/>
      <c r="J54"/>
      <c r="K54"/>
      <c r="L54"/>
      <c r="M54"/>
    </row>
    <row r="55" spans="2:13" ht="15">
      <c r="B55"/>
      <c r="C55"/>
      <c r="D55"/>
      <c r="E55"/>
      <c r="F55"/>
      <c r="G55"/>
      <c r="H55"/>
      <c r="I55"/>
      <c r="J55"/>
      <c r="K55"/>
      <c r="L55"/>
      <c r="M55"/>
    </row>
    <row r="56" spans="2:13" ht="15">
      <c r="B56"/>
      <c r="C56"/>
      <c r="D56"/>
      <c r="E56"/>
      <c r="F56"/>
      <c r="G56"/>
      <c r="H56"/>
      <c r="I56"/>
      <c r="J56"/>
      <c r="K56"/>
      <c r="L56"/>
      <c r="M56"/>
    </row>
    <row r="57" spans="2:13" ht="15">
      <c r="B57"/>
      <c r="C57"/>
      <c r="D57"/>
      <c r="E57"/>
      <c r="F57"/>
      <c r="G57"/>
      <c r="H57"/>
      <c r="I57"/>
      <c r="J57"/>
      <c r="K57"/>
      <c r="L57"/>
      <c r="M57"/>
    </row>
    <row r="58" spans="2:13" ht="15">
      <c r="B58"/>
      <c r="C58"/>
      <c r="D58"/>
      <c r="E58"/>
      <c r="F58"/>
      <c r="G58"/>
      <c r="H58"/>
      <c r="I58"/>
      <c r="J58"/>
      <c r="K58"/>
      <c r="L58"/>
      <c r="M58"/>
    </row>
    <row r="59" spans="2:13" ht="15">
      <c r="B59"/>
      <c r="C59"/>
      <c r="D59"/>
      <c r="E59"/>
      <c r="F59"/>
      <c r="G59"/>
      <c r="H59"/>
      <c r="I59"/>
      <c r="J59"/>
      <c r="K59"/>
      <c r="L59"/>
      <c r="M59"/>
    </row>
    <row r="60" spans="2:13" ht="15">
      <c r="B60"/>
      <c r="C60"/>
      <c r="D60"/>
      <c r="E60"/>
      <c r="F60"/>
      <c r="G60"/>
      <c r="H60"/>
      <c r="I60"/>
      <c r="J60"/>
      <c r="K60"/>
      <c r="L60"/>
      <c r="M60"/>
    </row>
    <row r="61" spans="2:13" ht="15">
      <c r="B61"/>
      <c r="C61"/>
      <c r="D61"/>
      <c r="E61"/>
      <c r="F61"/>
      <c r="G61"/>
      <c r="H61"/>
      <c r="I61"/>
      <c r="J61"/>
      <c r="K61"/>
      <c r="L61"/>
      <c r="M61"/>
    </row>
    <row r="62" spans="2:13" ht="15">
      <c r="B62"/>
      <c r="C62"/>
      <c r="D62"/>
      <c r="E62"/>
      <c r="F62"/>
      <c r="G62"/>
      <c r="H62"/>
      <c r="I62"/>
      <c r="J62"/>
      <c r="K62"/>
      <c r="L62"/>
      <c r="M62"/>
    </row>
    <row r="63" spans="2:13" ht="15">
      <c r="B63"/>
      <c r="C63"/>
      <c r="D63"/>
      <c r="E63"/>
      <c r="F63"/>
      <c r="G63"/>
      <c r="H63"/>
      <c r="I63"/>
      <c r="J63"/>
      <c r="K63"/>
      <c r="L63"/>
      <c r="M63"/>
    </row>
    <row r="64" spans="2:13" ht="15">
      <c r="B64"/>
      <c r="C64"/>
      <c r="D64"/>
      <c r="E64"/>
      <c r="F64"/>
      <c r="G64"/>
      <c r="H64"/>
      <c r="I64"/>
      <c r="J64"/>
      <c r="K64"/>
      <c r="L64"/>
      <c r="M64"/>
    </row>
    <row r="65" spans="2:13" ht="15">
      <c r="B65"/>
      <c r="C65"/>
      <c r="D65"/>
      <c r="E65"/>
      <c r="F65"/>
      <c r="G65"/>
      <c r="H65"/>
      <c r="I65"/>
      <c r="J65"/>
      <c r="K65"/>
      <c r="L65"/>
      <c r="M65"/>
    </row>
    <row r="66" spans="2:13" ht="15">
      <c r="B66"/>
      <c r="C66"/>
      <c r="D66"/>
      <c r="E66"/>
      <c r="F66"/>
      <c r="G66"/>
      <c r="H66"/>
      <c r="I66"/>
      <c r="J66"/>
      <c r="K66"/>
      <c r="L66"/>
      <c r="M66"/>
    </row>
    <row r="67" spans="2:13" ht="15">
      <c r="B67"/>
      <c r="C67"/>
      <c r="D67"/>
      <c r="E67"/>
      <c r="F67"/>
      <c r="G67"/>
      <c r="H67"/>
      <c r="I67"/>
      <c r="J67"/>
      <c r="K67"/>
      <c r="L67"/>
      <c r="M67"/>
    </row>
    <row r="68" spans="2:13" ht="15">
      <c r="B68"/>
      <c r="C68"/>
      <c r="D68"/>
      <c r="E68"/>
      <c r="F68"/>
      <c r="G68"/>
      <c r="H68"/>
      <c r="I68"/>
      <c r="J68"/>
      <c r="K68"/>
      <c r="L68"/>
      <c r="M68"/>
    </row>
    <row r="69" spans="2:13" ht="15">
      <c r="B69"/>
      <c r="C69"/>
      <c r="D69"/>
      <c r="E69"/>
      <c r="F69"/>
      <c r="G69"/>
      <c r="H69"/>
      <c r="I69"/>
      <c r="J69"/>
      <c r="K69"/>
      <c r="L69"/>
      <c r="M69"/>
    </row>
    <row r="70" spans="2:13" ht="15">
      <c r="B70"/>
      <c r="C70"/>
      <c r="D70"/>
      <c r="E70"/>
      <c r="F70"/>
      <c r="G70"/>
      <c r="H70"/>
      <c r="I70"/>
      <c r="J70"/>
      <c r="K70"/>
      <c r="L70"/>
      <c r="M70"/>
    </row>
    <row r="71" spans="2:13" ht="15">
      <c r="B71"/>
      <c r="C71"/>
      <c r="D71"/>
      <c r="E71"/>
      <c r="F71"/>
      <c r="G71"/>
      <c r="H71"/>
      <c r="I71"/>
      <c r="J71"/>
      <c r="K71"/>
      <c r="L71"/>
      <c r="M71"/>
    </row>
    <row r="72" spans="2:13" ht="15">
      <c r="B72"/>
      <c r="C72"/>
      <c r="D72"/>
      <c r="E72"/>
      <c r="F72"/>
      <c r="G72"/>
      <c r="H72"/>
      <c r="I72"/>
      <c r="J72"/>
      <c r="K72"/>
      <c r="L72"/>
      <c r="M72"/>
    </row>
    <row r="73" spans="2:13" ht="15">
      <c r="B73"/>
      <c r="C73"/>
      <c r="D73"/>
      <c r="E73"/>
      <c r="F73"/>
      <c r="G73"/>
      <c r="H73"/>
      <c r="I73"/>
      <c r="J73"/>
      <c r="K73"/>
      <c r="L73"/>
      <c r="M73"/>
    </row>
    <row r="74" spans="2:13" ht="15">
      <c r="B74"/>
      <c r="C74"/>
      <c r="D74"/>
      <c r="E74"/>
      <c r="F74"/>
      <c r="G74"/>
      <c r="H74"/>
      <c r="I74"/>
      <c r="J74"/>
      <c r="K74"/>
      <c r="L74"/>
      <c r="M74"/>
    </row>
    <row r="75" spans="2:13" ht="15">
      <c r="B75"/>
      <c r="C75"/>
      <c r="D75"/>
      <c r="E75"/>
      <c r="F75"/>
      <c r="G75"/>
      <c r="H75"/>
      <c r="I75"/>
      <c r="J75"/>
      <c r="K75"/>
      <c r="L75"/>
      <c r="M75"/>
    </row>
    <row r="76" spans="2:13" ht="15">
      <c r="B76"/>
      <c r="C76"/>
      <c r="D76"/>
      <c r="E76"/>
      <c r="F76"/>
      <c r="G76"/>
      <c r="H76"/>
      <c r="I76"/>
      <c r="J76"/>
      <c r="K76"/>
      <c r="L76"/>
      <c r="M76"/>
    </row>
    <row r="77" spans="2:13" ht="15">
      <c r="B77"/>
      <c r="C77"/>
      <c r="D77"/>
      <c r="E77"/>
      <c r="F77"/>
      <c r="G77"/>
      <c r="H77"/>
      <c r="I77"/>
      <c r="J77"/>
      <c r="K77"/>
      <c r="L77"/>
      <c r="M77"/>
    </row>
    <row r="78" spans="2:13" ht="15">
      <c r="B78"/>
      <c r="C78"/>
      <c r="D78"/>
      <c r="E78"/>
      <c r="F78"/>
      <c r="G78"/>
      <c r="H78"/>
      <c r="I78"/>
      <c r="J78"/>
      <c r="K78"/>
      <c r="L78"/>
      <c r="M78"/>
    </row>
    <row r="79" spans="2:13" ht="15">
      <c r="B79"/>
      <c r="C79"/>
      <c r="D79"/>
      <c r="E79"/>
      <c r="F79"/>
      <c r="G79"/>
      <c r="H79"/>
      <c r="I79"/>
      <c r="J79"/>
      <c r="K79"/>
      <c r="L79"/>
      <c r="M79"/>
    </row>
    <row r="80" spans="2:13" ht="15">
      <c r="B80"/>
      <c r="C80"/>
      <c r="D80"/>
      <c r="E80"/>
      <c r="F80"/>
      <c r="G80"/>
      <c r="H80"/>
      <c r="I80"/>
      <c r="J80"/>
      <c r="K80"/>
      <c r="L80"/>
      <c r="M80"/>
    </row>
    <row r="81" spans="2:13" ht="15">
      <c r="B81"/>
      <c r="C81"/>
      <c r="D81"/>
      <c r="E81"/>
      <c r="F81"/>
      <c r="G81"/>
      <c r="H81"/>
      <c r="I81"/>
      <c r="J81"/>
      <c r="K81"/>
      <c r="L81"/>
      <c r="M81"/>
    </row>
    <row r="82" spans="2:13" ht="15">
      <c r="B82"/>
      <c r="C82"/>
      <c r="D82"/>
      <c r="E82"/>
      <c r="F82"/>
      <c r="G82"/>
      <c r="H82"/>
      <c r="I82"/>
      <c r="J82"/>
      <c r="K82"/>
      <c r="L82"/>
      <c r="M82"/>
    </row>
    <row r="83" spans="2:13" ht="15">
      <c r="B83"/>
      <c r="C83"/>
      <c r="D83"/>
      <c r="E83"/>
      <c r="F83"/>
      <c r="G83"/>
      <c r="H83"/>
      <c r="I83"/>
      <c r="J83"/>
      <c r="K83"/>
      <c r="L83"/>
      <c r="M83"/>
    </row>
    <row r="84" spans="2:13" ht="15">
      <c r="B84"/>
      <c r="C84"/>
      <c r="D84"/>
      <c r="E84"/>
      <c r="F84"/>
      <c r="G84"/>
      <c r="H84"/>
      <c r="I84"/>
      <c r="J84"/>
      <c r="K84"/>
      <c r="L84"/>
      <c r="M84"/>
    </row>
    <row r="85" spans="2:13" ht="15">
      <c r="B85"/>
      <c r="C85"/>
      <c r="D85"/>
      <c r="E85"/>
      <c r="F85"/>
      <c r="G85"/>
      <c r="H85"/>
      <c r="I85"/>
      <c r="J85"/>
      <c r="K85"/>
      <c r="L85"/>
      <c r="M85"/>
    </row>
    <row r="86" spans="2:13" ht="15">
      <c r="B86"/>
      <c r="C86"/>
      <c r="D86"/>
      <c r="E86"/>
      <c r="F86"/>
      <c r="G86"/>
      <c r="H86"/>
      <c r="I86"/>
      <c r="J86"/>
      <c r="K86"/>
      <c r="L86"/>
      <c r="M86"/>
    </row>
    <row r="87" spans="2:13" ht="15">
      <c r="B87"/>
      <c r="C87"/>
      <c r="D87"/>
      <c r="E87"/>
      <c r="F87"/>
      <c r="G87"/>
      <c r="H87"/>
      <c r="I87"/>
      <c r="J87"/>
      <c r="K87"/>
      <c r="L87"/>
      <c r="M87"/>
    </row>
    <row r="88" spans="2:13" ht="15">
      <c r="B88"/>
      <c r="C88"/>
      <c r="D88"/>
      <c r="E88"/>
      <c r="F88"/>
      <c r="G88"/>
      <c r="H88"/>
      <c r="I88"/>
      <c r="J88"/>
      <c r="K88"/>
      <c r="L88"/>
      <c r="M88"/>
    </row>
    <row r="89" spans="2:13" ht="15">
      <c r="B89"/>
      <c r="C89"/>
      <c r="D89"/>
      <c r="E89"/>
      <c r="F89"/>
      <c r="G89"/>
      <c r="H89"/>
      <c r="I89"/>
      <c r="J89"/>
      <c r="K89"/>
      <c r="L89"/>
      <c r="M89"/>
    </row>
    <row r="90" spans="2:13" ht="15">
      <c r="B90"/>
      <c r="C90"/>
      <c r="D90"/>
      <c r="E90"/>
      <c r="F90"/>
      <c r="G90"/>
      <c r="H90"/>
      <c r="I90"/>
      <c r="J90"/>
      <c r="K90"/>
      <c r="L90"/>
      <c r="M90"/>
    </row>
    <row r="91" spans="2:13" ht="15">
      <c r="B91"/>
      <c r="C91"/>
      <c r="D91"/>
      <c r="E91"/>
      <c r="F91"/>
      <c r="G91"/>
      <c r="H91"/>
      <c r="I91"/>
      <c r="J91"/>
      <c r="K91"/>
      <c r="L91"/>
      <c r="M91"/>
    </row>
    <row r="92" spans="2:13" ht="15">
      <c r="B92"/>
      <c r="C92"/>
      <c r="D92"/>
      <c r="E92"/>
      <c r="F92"/>
      <c r="G92"/>
      <c r="H92"/>
      <c r="I92"/>
      <c r="J92"/>
      <c r="K92"/>
      <c r="L92"/>
      <c r="M92"/>
    </row>
    <row r="93" spans="2:13" ht="15">
      <c r="B93"/>
      <c r="C93"/>
      <c r="D93"/>
      <c r="E93"/>
      <c r="F93"/>
      <c r="G93"/>
      <c r="H93"/>
      <c r="I93"/>
      <c r="J93"/>
      <c r="K93"/>
      <c r="L93"/>
      <c r="M93"/>
    </row>
    <row r="94" spans="2:13" ht="15">
      <c r="B94"/>
      <c r="C94"/>
      <c r="D94"/>
      <c r="E94"/>
      <c r="F94"/>
      <c r="G94"/>
      <c r="H94"/>
      <c r="I94"/>
      <c r="J94"/>
      <c r="K94"/>
      <c r="L94"/>
      <c r="M94"/>
    </row>
    <row r="95" spans="2:13" ht="15">
      <c r="B95"/>
      <c r="C95"/>
      <c r="D95"/>
      <c r="E95"/>
      <c r="F95"/>
      <c r="G95"/>
      <c r="H95"/>
      <c r="I95"/>
      <c r="J95"/>
      <c r="K95"/>
      <c r="L95"/>
      <c r="M95"/>
    </row>
    <row r="96" spans="2:13" ht="15">
      <c r="B96"/>
      <c r="C96"/>
      <c r="D96"/>
      <c r="E96"/>
      <c r="F96"/>
      <c r="G96"/>
      <c r="H96"/>
      <c r="I96"/>
      <c r="J96"/>
      <c r="K96"/>
      <c r="L96"/>
      <c r="M96"/>
    </row>
    <row r="97" spans="2:13" ht="15">
      <c r="B97"/>
      <c r="C97"/>
      <c r="D97"/>
      <c r="E97"/>
      <c r="F97"/>
      <c r="G97"/>
      <c r="H97"/>
      <c r="I97"/>
      <c r="J97"/>
      <c r="K97"/>
      <c r="L97"/>
      <c r="M97"/>
    </row>
    <row r="98" spans="2:13" ht="15">
      <c r="B98"/>
      <c r="C98"/>
      <c r="D98"/>
      <c r="E98"/>
      <c r="F98"/>
      <c r="G98"/>
      <c r="H98"/>
      <c r="I98"/>
      <c r="J98"/>
      <c r="K98"/>
      <c r="L98"/>
      <c r="M98"/>
    </row>
    <row r="99" spans="2:13" ht="15">
      <c r="B99"/>
      <c r="C99"/>
      <c r="D99"/>
      <c r="E99"/>
      <c r="F99"/>
      <c r="G99"/>
      <c r="H99"/>
      <c r="I99"/>
      <c r="J99"/>
      <c r="K99"/>
      <c r="L99"/>
      <c r="M99"/>
    </row>
    <row r="100" spans="2:13" ht="15">
      <c r="B100"/>
      <c r="C100"/>
      <c r="D100"/>
      <c r="E100"/>
      <c r="F100"/>
      <c r="G100"/>
      <c r="H100"/>
      <c r="I100"/>
      <c r="J100"/>
      <c r="K100"/>
      <c r="L100"/>
      <c r="M100"/>
    </row>
    <row r="101" spans="2:13" ht="15">
      <c r="B101"/>
      <c r="C101"/>
      <c r="D101"/>
      <c r="E101"/>
      <c r="F101"/>
      <c r="G101"/>
      <c r="H101"/>
      <c r="I101"/>
      <c r="J101"/>
      <c r="K101"/>
      <c r="L101"/>
      <c r="M101"/>
    </row>
    <row r="102" spans="2:13" ht="15">
      <c r="B102"/>
      <c r="C102"/>
      <c r="D102"/>
      <c r="E102"/>
      <c r="F102"/>
      <c r="G102"/>
      <c r="H102"/>
      <c r="I102"/>
      <c r="J102"/>
      <c r="K102"/>
      <c r="L102"/>
      <c r="M102"/>
    </row>
    <row r="103" spans="2:13" ht="15">
      <c r="B103"/>
      <c r="C103"/>
      <c r="D103"/>
      <c r="E103"/>
      <c r="F103"/>
      <c r="G103"/>
      <c r="H103"/>
      <c r="I103"/>
      <c r="J103"/>
      <c r="K103"/>
      <c r="L103"/>
      <c r="M103"/>
    </row>
    <row r="104" spans="2:13" ht="15">
      <c r="B104"/>
      <c r="C104"/>
      <c r="D104"/>
      <c r="E104"/>
      <c r="F104"/>
      <c r="G104"/>
      <c r="H104"/>
      <c r="I104"/>
      <c r="J104"/>
      <c r="K104"/>
      <c r="L104"/>
      <c r="M104"/>
    </row>
    <row r="105" spans="2:13" ht="15">
      <c r="B105"/>
      <c r="C105"/>
      <c r="D105"/>
      <c r="E105"/>
      <c r="F105"/>
      <c r="G105"/>
      <c r="H105"/>
      <c r="I105"/>
      <c r="J105"/>
      <c r="K105"/>
      <c r="L105"/>
      <c r="M105"/>
    </row>
    <row r="106" spans="2:13" ht="15">
      <c r="B106"/>
      <c r="C106"/>
      <c r="D106"/>
      <c r="E106"/>
      <c r="F106"/>
      <c r="G106"/>
      <c r="H106"/>
      <c r="I106"/>
      <c r="J106"/>
      <c r="K106"/>
      <c r="L106"/>
      <c r="M106"/>
    </row>
    <row r="107" spans="2:13" ht="15">
      <c r="B107"/>
      <c r="C107"/>
      <c r="D107"/>
      <c r="E107"/>
      <c r="F107"/>
      <c r="G107"/>
      <c r="H107"/>
      <c r="I107"/>
      <c r="J107"/>
      <c r="K107"/>
      <c r="L107"/>
      <c r="M107"/>
    </row>
    <row r="108" spans="2:13" ht="15">
      <c r="B108"/>
      <c r="C108"/>
      <c r="D108"/>
      <c r="E108"/>
      <c r="F108"/>
      <c r="G108"/>
      <c r="H108"/>
      <c r="I108"/>
      <c r="J108"/>
      <c r="K108"/>
      <c r="L108"/>
      <c r="M108"/>
    </row>
    <row r="109" spans="2:13" ht="15">
      <c r="B109"/>
      <c r="C109"/>
      <c r="D109"/>
      <c r="E109"/>
      <c r="F109"/>
      <c r="G109"/>
      <c r="H109"/>
      <c r="I109"/>
      <c r="J109"/>
      <c r="K109"/>
      <c r="L109"/>
      <c r="M109"/>
    </row>
    <row r="110" spans="2:13" ht="15">
      <c r="B110"/>
      <c r="C110"/>
      <c r="D110"/>
      <c r="E110"/>
      <c r="F110"/>
      <c r="G110"/>
      <c r="H110"/>
      <c r="I110"/>
      <c r="J110"/>
      <c r="K110"/>
      <c r="L110"/>
      <c r="M110"/>
    </row>
    <row r="111" spans="2:13" ht="15">
      <c r="B111"/>
      <c r="C111"/>
      <c r="D111"/>
      <c r="E111"/>
      <c r="F111"/>
      <c r="G111"/>
      <c r="H111"/>
      <c r="I111"/>
      <c r="J111"/>
      <c r="K111"/>
      <c r="L111"/>
      <c r="M111"/>
    </row>
    <row r="112" spans="2:13" ht="15">
      <c r="B112"/>
      <c r="C112"/>
      <c r="D112"/>
      <c r="E112"/>
      <c r="F112"/>
      <c r="G112"/>
      <c r="H112"/>
      <c r="I112"/>
      <c r="J112"/>
      <c r="K112"/>
      <c r="L112"/>
      <c r="M112"/>
    </row>
    <row r="113" spans="2:8" ht="15">
      <c r="B113"/>
      <c r="C113"/>
      <c r="D113"/>
      <c r="E113"/>
      <c r="F113"/>
      <c r="G113"/>
      <c r="H113"/>
    </row>
    <row r="114" spans="2:8">
      <c r="C114" s="6"/>
      <c r="D114" s="6"/>
      <c r="E114" s="6"/>
      <c r="F114" s="6"/>
    </row>
    <row r="115" spans="2:8">
      <c r="C115" s="6"/>
      <c r="D115" s="6"/>
      <c r="E115" s="6"/>
      <c r="F115" s="6"/>
    </row>
    <row r="116" spans="2:8">
      <c r="C116" s="6"/>
      <c r="D116" s="6"/>
      <c r="E116" s="6"/>
      <c r="F116" s="6"/>
    </row>
    <row r="117" spans="2:8">
      <c r="C117" s="6"/>
      <c r="D117" s="6"/>
      <c r="E117" s="6"/>
      <c r="F117" s="6"/>
    </row>
    <row r="118" spans="2:8">
      <c r="C118" s="6"/>
      <c r="D118" s="6"/>
      <c r="E118" s="6"/>
      <c r="F118" s="6"/>
    </row>
    <row r="119" spans="2:8">
      <c r="C119" s="6"/>
      <c r="D119" s="6"/>
      <c r="E119" s="6"/>
      <c r="F119" s="6"/>
    </row>
    <row r="120" spans="2:8">
      <c r="C120" s="6"/>
      <c r="D120" s="6"/>
      <c r="E120" s="6"/>
      <c r="F120" s="6"/>
    </row>
    <row r="121" spans="2:8">
      <c r="C121" s="6"/>
      <c r="D121" s="6"/>
      <c r="E121" s="6"/>
      <c r="F121" s="6"/>
    </row>
    <row r="122" spans="2:8">
      <c r="C122" s="6"/>
      <c r="D122" s="6"/>
      <c r="E122" s="6"/>
      <c r="F122" s="6"/>
    </row>
    <row r="123" spans="2:8">
      <c r="C123" s="6"/>
      <c r="D123" s="6"/>
      <c r="E123" s="6"/>
      <c r="F123" s="6"/>
    </row>
    <row r="124" spans="2:8">
      <c r="C124" s="6"/>
      <c r="D124" s="6"/>
      <c r="E124" s="6"/>
      <c r="F124" s="6"/>
    </row>
    <row r="125" spans="2:8">
      <c r="C125" s="6"/>
      <c r="D125" s="6"/>
      <c r="E125" s="6"/>
      <c r="F125" s="6"/>
    </row>
    <row r="126" spans="2:8">
      <c r="C126" s="6"/>
      <c r="D126" s="6"/>
      <c r="E126" s="6"/>
      <c r="F126" s="6"/>
    </row>
    <row r="127" spans="2:8">
      <c r="C127" s="6"/>
      <c r="D127" s="6"/>
      <c r="E127" s="6"/>
      <c r="F127" s="6"/>
    </row>
    <row r="128" spans="2:8">
      <c r="C128" s="6"/>
      <c r="D128" s="6"/>
      <c r="E128" s="6"/>
      <c r="F128" s="6"/>
    </row>
    <row r="129" s="6" customFormat="1"/>
    <row r="130" s="6" customFormat="1"/>
    <row r="131" s="6" customFormat="1"/>
    <row r="132" s="6" customFormat="1"/>
    <row r="133" s="6" customFormat="1"/>
    <row r="134" s="6" customFormat="1"/>
    <row r="135" s="6" customFormat="1"/>
    <row r="136" s="6" customFormat="1"/>
    <row r="137" s="6" customFormat="1"/>
    <row r="138" s="6" customFormat="1"/>
    <row r="139" s="6" customFormat="1"/>
    <row r="140" s="6" customFormat="1"/>
    <row r="141" s="6" customFormat="1"/>
    <row r="142" s="6" customFormat="1"/>
    <row r="143" s="6" customFormat="1"/>
    <row r="144" s="6" customFormat="1"/>
    <row r="145" s="6" customFormat="1"/>
    <row r="146" s="6" customFormat="1"/>
    <row r="147" s="6" customFormat="1"/>
    <row r="148" s="6" customFormat="1"/>
    <row r="149" s="6" customFormat="1"/>
    <row r="150" s="6" customFormat="1"/>
    <row r="151" s="6" customFormat="1"/>
    <row r="152" s="6" customFormat="1"/>
    <row r="153" s="6" customFormat="1"/>
    <row r="154" s="6" customFormat="1"/>
    <row r="155" s="6" customFormat="1"/>
    <row r="156" s="6" customFormat="1"/>
    <row r="157" s="6" customFormat="1"/>
    <row r="158" s="6" customFormat="1"/>
    <row r="159" s="6" customFormat="1"/>
    <row r="160" s="6" customFormat="1"/>
    <row r="161" s="6" customFormat="1"/>
    <row r="162" s="6" customFormat="1"/>
    <row r="163" s="6" customFormat="1"/>
    <row r="164" s="6" customFormat="1"/>
    <row r="165" s="6" customFormat="1"/>
    <row r="166" s="6" customFormat="1"/>
    <row r="167" s="6" customFormat="1"/>
    <row r="168" s="6" customFormat="1"/>
    <row r="169" s="6" customFormat="1"/>
    <row r="170" s="6" customFormat="1"/>
    <row r="171" s="6" customFormat="1"/>
    <row r="172" s="6" customFormat="1"/>
    <row r="173" s="6" customFormat="1"/>
    <row r="174" s="6" customFormat="1"/>
    <row r="175" s="6" customFormat="1"/>
    <row r="176" s="6" customFormat="1"/>
    <row r="177" s="6" customFormat="1"/>
    <row r="178" s="6" customFormat="1"/>
    <row r="179" s="6" customFormat="1"/>
    <row r="180" s="6" customFormat="1"/>
    <row r="181" s="6" customFormat="1"/>
    <row r="182" s="6" customFormat="1"/>
    <row r="183" s="6" customFormat="1"/>
    <row r="184" s="6" customFormat="1"/>
    <row r="185" s="6" customFormat="1"/>
    <row r="186" s="6" customFormat="1"/>
    <row r="187" s="6" customFormat="1"/>
    <row r="188" s="6" customFormat="1"/>
    <row r="189" s="6" customFormat="1"/>
    <row r="190" s="6" customFormat="1"/>
    <row r="191" s="6" customFormat="1"/>
    <row r="192" s="6" customFormat="1"/>
    <row r="193" s="6" customFormat="1"/>
    <row r="194" s="6" customFormat="1"/>
    <row r="195" s="6" customFormat="1"/>
    <row r="196" s="6" customFormat="1"/>
    <row r="197" s="6" customFormat="1"/>
    <row r="198" s="6" customFormat="1"/>
    <row r="199" s="6" customFormat="1"/>
    <row r="200" s="6" customFormat="1"/>
    <row r="201" s="6" customFormat="1"/>
    <row r="202" s="6" customFormat="1"/>
    <row r="203" s="6" customFormat="1"/>
    <row r="204" s="6" customFormat="1"/>
    <row r="205" s="6" customFormat="1"/>
    <row r="206" s="6" customFormat="1"/>
    <row r="207" s="6" customFormat="1"/>
    <row r="208" s="6" customFormat="1"/>
    <row r="209" s="6" customFormat="1"/>
    <row r="210" s="6" customFormat="1"/>
    <row r="211" s="6" customFormat="1"/>
    <row r="212" s="6" customFormat="1"/>
    <row r="213" s="6" customFormat="1"/>
    <row r="214" s="6" customFormat="1"/>
    <row r="215" s="6" customFormat="1"/>
    <row r="216" s="6" customFormat="1"/>
    <row r="217" s="6" customFormat="1"/>
    <row r="218" s="6" customFormat="1"/>
    <row r="219" s="6" customFormat="1"/>
    <row r="220" s="6" customFormat="1"/>
    <row r="221" s="6" customFormat="1"/>
    <row r="222" s="6" customFormat="1"/>
    <row r="223" s="6" customFormat="1"/>
    <row r="224" s="6" customFormat="1"/>
    <row r="225" s="6" customFormat="1"/>
    <row r="226" s="6" customFormat="1"/>
    <row r="227" s="6" customFormat="1"/>
    <row r="228" s="6" customFormat="1"/>
    <row r="229" s="6" customFormat="1"/>
    <row r="230" s="6" customFormat="1"/>
    <row r="231" s="6" customFormat="1"/>
    <row r="232" s="6" customFormat="1"/>
    <row r="233" s="6" customFormat="1"/>
    <row r="234" s="6" customFormat="1"/>
    <row r="235" s="6" customFormat="1"/>
    <row r="236" s="6" customFormat="1"/>
    <row r="237" s="6" customFormat="1"/>
    <row r="238" s="6" customFormat="1"/>
    <row r="239" s="6" customFormat="1"/>
    <row r="240" s="6" customFormat="1"/>
    <row r="241" s="6" customFormat="1"/>
    <row r="242" s="6" customFormat="1"/>
    <row r="243" s="6" customFormat="1"/>
    <row r="244" s="6" customFormat="1"/>
    <row r="245" s="6" customFormat="1"/>
    <row r="246" s="6" customFormat="1"/>
    <row r="247" s="6" customFormat="1"/>
    <row r="248" s="6" customFormat="1"/>
    <row r="249" s="6" customFormat="1"/>
    <row r="250" s="6" customFormat="1"/>
    <row r="251" s="6" customFormat="1"/>
    <row r="252" s="6" customFormat="1"/>
    <row r="253" s="6" customFormat="1"/>
    <row r="254" s="6" customFormat="1"/>
    <row r="255" s="6" customFormat="1"/>
    <row r="256" s="6" customFormat="1"/>
    <row r="257" s="6" customFormat="1"/>
    <row r="258" s="6" customFormat="1"/>
    <row r="259" s="6" customFormat="1"/>
    <row r="260" s="6" customFormat="1"/>
    <row r="261" s="6" customFormat="1"/>
    <row r="262" s="6" customFormat="1"/>
    <row r="263" s="6" customFormat="1"/>
    <row r="264" s="6" customFormat="1"/>
    <row r="265" s="6" customFormat="1"/>
    <row r="266" s="6" customFormat="1"/>
    <row r="267" s="6" customFormat="1"/>
    <row r="268" s="6" customFormat="1"/>
    <row r="269" s="6" customFormat="1"/>
    <row r="270" s="6" customFormat="1"/>
    <row r="271" s="6" customFormat="1"/>
    <row r="272" s="6" customFormat="1"/>
    <row r="273" s="6" customFormat="1"/>
    <row r="274" s="6" customFormat="1"/>
    <row r="275" s="6" customFormat="1"/>
    <row r="276" s="6" customFormat="1"/>
    <row r="277" s="6" customFormat="1"/>
    <row r="278" s="6" customFormat="1"/>
    <row r="279" s="6" customFormat="1"/>
    <row r="280" s="6" customFormat="1"/>
    <row r="281" s="6" customFormat="1"/>
    <row r="282" s="6" customFormat="1"/>
    <row r="283" s="6" customFormat="1"/>
    <row r="284" s="6" customFormat="1"/>
    <row r="285" s="6" customFormat="1"/>
    <row r="286" s="6" customFormat="1"/>
    <row r="287" s="6" customFormat="1"/>
    <row r="288" s="6" customFormat="1"/>
    <row r="289" s="6" customFormat="1"/>
    <row r="290" s="6" customFormat="1"/>
    <row r="291" s="6" customFormat="1"/>
    <row r="292" s="6" customFormat="1"/>
    <row r="293" s="6" customFormat="1"/>
    <row r="294" s="6" customFormat="1"/>
    <row r="295" s="6" customFormat="1"/>
    <row r="296" s="6" customFormat="1"/>
    <row r="297" s="6" customFormat="1"/>
    <row r="298" s="6" customFormat="1"/>
    <row r="299" s="6" customFormat="1"/>
    <row r="300" s="6" customFormat="1"/>
    <row r="301" s="6" customFormat="1"/>
    <row r="302" s="6" customFormat="1"/>
    <row r="303" s="6" customFormat="1"/>
    <row r="304" s="6" customFormat="1"/>
    <row r="305" s="6" customFormat="1"/>
    <row r="306" s="6" customFormat="1"/>
    <row r="307" s="6" customFormat="1"/>
    <row r="308" s="6" customFormat="1"/>
    <row r="309" s="6" customFormat="1"/>
    <row r="310" s="6" customFormat="1"/>
    <row r="311" s="6" customFormat="1"/>
    <row r="312" s="6" customFormat="1"/>
    <row r="313" s="6" customFormat="1"/>
    <row r="314" s="6" customFormat="1"/>
    <row r="315" s="6" customFormat="1"/>
    <row r="316" s="6" customFormat="1"/>
    <row r="317" s="6" customFormat="1"/>
    <row r="318" s="6" customFormat="1"/>
    <row r="319" s="6" customFormat="1"/>
    <row r="320" s="6" customFormat="1"/>
    <row r="321" s="6" customFormat="1"/>
    <row r="322" s="6" customFormat="1"/>
    <row r="323" s="6" customFormat="1"/>
    <row r="324" s="6" customFormat="1"/>
    <row r="325" s="6" customFormat="1"/>
    <row r="326" s="6" customFormat="1"/>
    <row r="327" s="6" customFormat="1"/>
    <row r="328" s="6" customFormat="1"/>
    <row r="329" s="6" customFormat="1"/>
    <row r="330" s="6" customFormat="1"/>
    <row r="331" s="6" customFormat="1"/>
    <row r="332" s="6" customFormat="1"/>
    <row r="333" s="6" customFormat="1"/>
    <row r="334" s="6" customFormat="1"/>
    <row r="335" s="6" customFormat="1"/>
    <row r="336" s="6" customFormat="1"/>
    <row r="337" s="6" customFormat="1"/>
    <row r="338" s="6" customFormat="1"/>
    <row r="339" s="6" customFormat="1"/>
    <row r="340" s="6" customFormat="1"/>
    <row r="341" s="6" customFormat="1"/>
    <row r="342" s="6" customFormat="1"/>
    <row r="343" s="6" customFormat="1"/>
    <row r="344" s="6" customFormat="1"/>
    <row r="345" s="6" customFormat="1"/>
    <row r="346" s="6" customFormat="1"/>
    <row r="347" s="6" customFormat="1"/>
    <row r="348" s="6" customFormat="1"/>
    <row r="349" s="6" customFormat="1"/>
    <row r="350" s="6" customFormat="1"/>
    <row r="351" s="6" customFormat="1"/>
    <row r="352" s="6" customFormat="1"/>
    <row r="353" s="6" customFormat="1"/>
    <row r="354" s="6" customFormat="1"/>
    <row r="355" s="6" customFormat="1"/>
    <row r="356" s="6" customFormat="1"/>
    <row r="357" s="6" customFormat="1"/>
    <row r="358" s="6" customFormat="1"/>
    <row r="359" s="6" customFormat="1"/>
    <row r="360" s="6" customFormat="1"/>
    <row r="361" s="6" customFormat="1"/>
    <row r="362" s="6" customFormat="1"/>
    <row r="363" s="6" customFormat="1"/>
    <row r="364" s="6" customFormat="1"/>
    <row r="365" s="6" customFormat="1"/>
    <row r="366" s="6" customFormat="1"/>
    <row r="367" s="6" customFormat="1"/>
    <row r="368" s="6" customFormat="1"/>
    <row r="369" s="6" customFormat="1"/>
    <row r="370" s="6" customFormat="1"/>
    <row r="371" s="6" customFormat="1"/>
    <row r="372" s="6" customFormat="1"/>
    <row r="373" s="6" customFormat="1"/>
    <row r="374" s="6" customFormat="1"/>
    <row r="375" s="6" customFormat="1"/>
    <row r="376" s="6" customFormat="1"/>
    <row r="377" s="6" customFormat="1"/>
    <row r="378" s="6" customFormat="1"/>
    <row r="379" s="6" customFormat="1"/>
    <row r="380" s="6" customFormat="1"/>
    <row r="381" s="6" customFormat="1"/>
    <row r="382" s="6" customFormat="1"/>
    <row r="383" s="6" customFormat="1"/>
    <row r="384" s="6" customFormat="1"/>
    <row r="385" s="6" customFormat="1"/>
    <row r="386" s="6" customFormat="1"/>
    <row r="387" s="6" customFormat="1"/>
    <row r="388" s="6" customFormat="1"/>
    <row r="389" s="6" customFormat="1"/>
    <row r="390" s="6" customFormat="1"/>
    <row r="391" s="6" customFormat="1"/>
    <row r="392" s="6" customFormat="1"/>
    <row r="393" s="6" customFormat="1"/>
    <row r="394" s="6" customFormat="1"/>
    <row r="395" s="6" customFormat="1"/>
  </sheetData>
  <mergeCells count="1">
    <mergeCell ref="A1:H1"/>
  </mergeCells>
  <pageMargins left="0.7" right="0.7" top="0.75" bottom="0.75" header="0.3" footer="0.3"/>
  <pageSetup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a28ff33b-818c-4026-831b-8d73eb4dad2d" xsi:nil="true"/>
    <TaxCatchAll xmlns="2fbad8de-0a7b-485b-82ad-f06cca0c6faf" xsi:nil="true"/>
    <lcf76f155ced4ddcb4097134ff3c332f xmlns="a28ff33b-818c-4026-831b-8d73eb4dad2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9F9ECA4F172C040A25C0A302518F164" ma:contentTypeVersion="19" ma:contentTypeDescription="Create a new document." ma:contentTypeScope="" ma:versionID="1b09076abb9595163cd2166a5580bd35">
  <xsd:schema xmlns:xsd="http://www.w3.org/2001/XMLSchema" xmlns:xs="http://www.w3.org/2001/XMLSchema" xmlns:p="http://schemas.microsoft.com/office/2006/metadata/properties" xmlns:ns2="a28ff33b-818c-4026-831b-8d73eb4dad2d" xmlns:ns3="2fbad8de-0a7b-485b-82ad-f06cca0c6faf" targetNamespace="http://schemas.microsoft.com/office/2006/metadata/properties" ma:root="true" ma:fieldsID="5f3db4ee3c8c0e761608ca437f777866" ns2:_="" ns3:_="">
    <xsd:import namespace="a28ff33b-818c-4026-831b-8d73eb4dad2d"/>
    <xsd:import namespace="2fbad8de-0a7b-485b-82ad-f06cca0c6fa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Location" minOccurs="0"/>
                <xsd:element ref="ns2:_Flow_SignoffStatu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8ff33b-818c-4026-831b-8d73eb4dad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fb0b088-da3c-47ed-872c-fc1360427ae0"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_Flow_SignoffStatus" ma:index="24" nillable="true" ma:displayName="Sign-off status" ma:internalName="Sign_x002d_off_x0020_status">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fbad8de-0a7b-485b-82ad-f06cca0c6fa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560e5af-9277-4409-8cda-3ba96815ec35}" ma:internalName="TaxCatchAll" ma:showField="CatchAllData" ma:web="2fbad8de-0a7b-485b-82ad-f06cca0c6f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5D26FE-416D-42A5-9960-9D9FA2B6BE92}">
  <ds:schemaRefs>
    <ds:schemaRef ds:uri="http://schemas.microsoft.com/office/2006/metadata/properties"/>
    <ds:schemaRef ds:uri="http://schemas.microsoft.com/office/infopath/2007/PartnerControls"/>
    <ds:schemaRef ds:uri="a28ff33b-818c-4026-831b-8d73eb4dad2d"/>
    <ds:schemaRef ds:uri="2fbad8de-0a7b-485b-82ad-f06cca0c6faf"/>
  </ds:schemaRefs>
</ds:datastoreItem>
</file>

<file path=customXml/itemProps2.xml><?xml version="1.0" encoding="utf-8"?>
<ds:datastoreItem xmlns:ds="http://schemas.openxmlformats.org/officeDocument/2006/customXml" ds:itemID="{D9A5D3F6-733A-44D2-A204-A1FBE953FF59}">
  <ds:schemaRefs>
    <ds:schemaRef ds:uri="http://schemas.microsoft.com/sharepoint/v3/contenttype/forms"/>
  </ds:schemaRefs>
</ds:datastoreItem>
</file>

<file path=customXml/itemProps3.xml><?xml version="1.0" encoding="utf-8"?>
<ds:datastoreItem xmlns:ds="http://schemas.openxmlformats.org/officeDocument/2006/customXml" ds:itemID="{8E0173E2-F6AA-497B-AD09-A8F13F1901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8ff33b-818c-4026-831b-8d73eb4dad2d"/>
    <ds:schemaRef ds:uri="2fbad8de-0a7b-485b-82ad-f06cca0c6f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Base</vt:lpstr>
      <vt:lpstr>Informe ROC</vt:lpstr>
      <vt:lpstr>Sin Novedad</vt:lpstr>
      <vt:lpstr>Producto Agotado</vt:lpstr>
      <vt:lpstr>Producto con FV No Acordada</vt:lpstr>
      <vt:lpstr>Diferencia de Precio</vt:lpstr>
      <vt:lpstr>Otros Motivos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Leon, Maria Fernanda /CO</dc:creator>
  <cp:keywords/>
  <dc:description/>
  <cp:lastModifiedBy>Dairon Alonso</cp:lastModifiedBy>
  <cp:revision/>
  <dcterms:created xsi:type="dcterms:W3CDTF">2022-06-04T01:10:17Z</dcterms:created>
  <dcterms:modified xsi:type="dcterms:W3CDTF">2024-11-22T15:28:03Z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9088468-0951-4aef-9cc3-0a346e475ddc_Enabled">
    <vt:lpwstr>true</vt:lpwstr>
  </property>
  <property fmtid="{D5CDD505-2E9C-101B-9397-08002B2CF9AE}" pid="3" name="MSIP_Label_d9088468-0951-4aef-9cc3-0a346e475ddc_SetDate">
    <vt:lpwstr>2023-07-25T15:54:39Z</vt:lpwstr>
  </property>
  <property fmtid="{D5CDD505-2E9C-101B-9397-08002B2CF9AE}" pid="4" name="MSIP_Label_d9088468-0951-4aef-9cc3-0a346e475ddc_Method">
    <vt:lpwstr>Privileged</vt:lpwstr>
  </property>
  <property fmtid="{D5CDD505-2E9C-101B-9397-08002B2CF9AE}" pid="5" name="MSIP_Label_d9088468-0951-4aef-9cc3-0a346e475ddc_Name">
    <vt:lpwstr>Public</vt:lpwstr>
  </property>
  <property fmtid="{D5CDD505-2E9C-101B-9397-08002B2CF9AE}" pid="6" name="MSIP_Label_d9088468-0951-4aef-9cc3-0a346e475ddc_SiteId">
    <vt:lpwstr>aca3c8d6-aa71-4e1a-a10e-03572fc58c0b</vt:lpwstr>
  </property>
  <property fmtid="{D5CDD505-2E9C-101B-9397-08002B2CF9AE}" pid="7" name="MSIP_Label_d9088468-0951-4aef-9cc3-0a346e475ddc_ActionId">
    <vt:lpwstr>6dec8198-ee6a-4e66-b584-c57edbe69f0f</vt:lpwstr>
  </property>
  <property fmtid="{D5CDD505-2E9C-101B-9397-08002B2CF9AE}" pid="8" name="MSIP_Label_d9088468-0951-4aef-9cc3-0a346e475ddc_ContentBits">
    <vt:lpwstr>0</vt:lpwstr>
  </property>
  <property fmtid="{D5CDD505-2E9C-101B-9397-08002B2CF9AE}" pid="9" name="ContentTypeId">
    <vt:lpwstr>0x01010019F9ECA4F172C040A25C0A302518F164</vt:lpwstr>
  </property>
  <property fmtid="{D5CDD505-2E9C-101B-9397-08002B2CF9AE}" pid="10" name="MediaServiceImageTags">
    <vt:lpwstr/>
  </property>
</Properties>
</file>